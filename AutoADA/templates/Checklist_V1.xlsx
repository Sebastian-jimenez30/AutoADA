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itco_e_seruiz_intercolombia_com/Documents/AutomatismoDev/templates/"/>
    </mc:Choice>
  </mc:AlternateContent>
  <xr:revisionPtr revIDLastSave="45" documentId="8_{D62D493B-4EEE-4CE4-87F9-FB8D58B30CDF}" xr6:coauthVersionLast="47" xr6:coauthVersionMax="47" xr10:uidLastSave="{371F5F3E-10CE-4C65-9197-26F33F1BA465}"/>
  <bookViews>
    <workbookView xWindow="-24120" yWindow="1020" windowWidth="24240" windowHeight="13020" xr2:uid="{F235CCB3-5AF3-4627-9B03-17DDDED16910}"/>
  </bookViews>
  <sheets>
    <sheet name="STATUS" sheetId="5" r:id="rId1"/>
    <sheet name="ANALOG" sheetId="2" r:id="rId2"/>
    <sheet name="CMD" sheetId="3" r:id="rId3"/>
    <sheet name="SO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5" l="1"/>
  <c r="N13" i="5"/>
  <c r="N12" i="5"/>
  <c r="N11" i="5"/>
  <c r="G2" i="2"/>
  <c r="G17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L11" i="5" s="1"/>
  <c r="L14" i="5"/>
  <c r="K14" i="5"/>
  <c r="M13" i="5"/>
  <c r="K13" i="5"/>
  <c r="L12" i="5"/>
  <c r="M12" i="5"/>
  <c r="M11" i="5" l="1"/>
  <c r="K11" i="5" s="1"/>
  <c r="K12" i="5"/>
  <c r="L13" i="5"/>
  <c r="M14" i="5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</calcChain>
</file>

<file path=xl/sharedStrings.xml><?xml version="1.0" encoding="utf-8"?>
<sst xmlns="http://schemas.openxmlformats.org/spreadsheetml/2006/main" count="56" uniqueCount="31">
  <si>
    <t>Comandos</t>
  </si>
  <si>
    <t>Medidas</t>
  </si>
  <si>
    <t>SP</t>
  </si>
  <si>
    <t>DP</t>
  </si>
  <si>
    <t>% Avance</t>
  </si>
  <si>
    <t>NO VALIDADAS</t>
  </si>
  <si>
    <t>VALIDADAS</t>
  </si>
  <si>
    <t>TOTAL DE SEÑALES</t>
  </si>
  <si>
    <t>Tipo de Señal</t>
  </si>
  <si>
    <t>Comentarios</t>
  </si>
  <si>
    <t>Prueba</t>
  </si>
  <si>
    <t>Name</t>
  </si>
  <si>
    <t xml:space="preserve">Station </t>
  </si>
  <si>
    <t>type</t>
  </si>
  <si>
    <t>AOR</t>
  </si>
  <si>
    <t>SCADAkey</t>
  </si>
  <si>
    <t>IOA</t>
  </si>
  <si>
    <t>Type</t>
  </si>
  <si>
    <t>ScadaKey</t>
  </si>
  <si>
    <t>Scan Quality</t>
  </si>
  <si>
    <t>Time Quality</t>
  </si>
  <si>
    <t>SCADA Key</t>
  </si>
  <si>
    <t>Value</t>
  </si>
  <si>
    <t>Point Name</t>
  </si>
  <si>
    <t>Station Name</t>
  </si>
  <si>
    <t>Event/Time</t>
  </si>
  <si>
    <t>Date/Time</t>
  </si>
  <si>
    <t xml:space="preserve">TABLA AVANCE </t>
  </si>
  <si>
    <t>XXX</t>
  </si>
  <si>
    <t>XX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</si>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</sst>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h:mm:ss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/>
    <xf numFmtId="49" fontId="2" fillId="4" borderId="0" xfId="0" applyNumberFormat="1" applyFont="1" applyFill="1"/>
    <xf numFmtId="0" fontId="2" fillId="5" borderId="0" xfId="0" applyFont="1" applyFill="1"/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7" borderId="2" xfId="0" applyFont="1" applyFill="1" applyBorder="1"/>
    <xf numFmtId="0" fontId="5" fillId="3" borderId="2" xfId="0" applyFont="1" applyFill="1" applyBorder="1"/>
    <xf numFmtId="0" fontId="6" fillId="4" borderId="2" xfId="0" applyFont="1" applyFill="1" applyBorder="1"/>
    <xf numFmtId="0" fontId="4" fillId="5" borderId="2" xfId="0" applyFont="1" applyFill="1" applyBorder="1"/>
    <xf numFmtId="49" fontId="5" fillId="4" borderId="2" xfId="0" applyNumberFormat="1" applyFont="1" applyFill="1" applyBorder="1"/>
    <xf numFmtId="0" fontId="2" fillId="8" borderId="0" xfId="0" applyFont="1" applyFill="1"/>
    <xf numFmtId="0" fontId="5" fillId="8" borderId="2" xfId="0" applyFont="1" applyFill="1" applyBorder="1"/>
    <xf numFmtId="0" fontId="5" fillId="5" borderId="2" xfId="0" applyFont="1" applyFill="1" applyBorder="1"/>
    <xf numFmtId="0" fontId="5" fillId="4" borderId="2" xfId="0" applyFont="1" applyFill="1" applyBorder="1"/>
    <xf numFmtId="0" fontId="2" fillId="9" borderId="0" xfId="0" applyFont="1" applyFill="1"/>
    <xf numFmtId="49" fontId="2" fillId="10" borderId="0" xfId="0" applyNumberFormat="1" applyFont="1" applyFill="1"/>
    <xf numFmtId="164" fontId="2" fillId="9" borderId="0" xfId="0" applyNumberFormat="1" applyFont="1" applyFill="1"/>
    <xf numFmtId="164" fontId="5" fillId="9" borderId="0" xfId="0" applyNumberFormat="1" applyFont="1" applyFill="1"/>
    <xf numFmtId="0" fontId="4" fillId="7" borderId="2" xfId="0" applyFont="1" applyFill="1" applyBorder="1" applyAlignment="1">
      <alignment horizontal="center"/>
    </xf>
    <xf numFmtId="0" fontId="5" fillId="9" borderId="2" xfId="0" applyFont="1" applyFill="1" applyBorder="1"/>
    <xf numFmtId="49" fontId="5" fillId="10" borderId="2" xfId="0" applyNumberFormat="1" applyFont="1" applyFill="1" applyBorder="1"/>
    <xf numFmtId="164" fontId="5" fillId="9" borderId="2" xfId="0" applyNumberFormat="1" applyFont="1" applyFill="1" applyBorder="1"/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7" fillId="4" borderId="0" xfId="0" applyNumberFormat="1" applyFont="1" applyFill="1"/>
    <xf numFmtId="0" fontId="7" fillId="4" borderId="0" xfId="0" applyFont="1" applyFill="1"/>
    <xf numFmtId="49" fontId="2" fillId="5" borderId="0" xfId="0" applyNumberFormat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5683-D979-4636-B0F7-25FFF34D689D}">
  <sheetPr codeName="Hoja3"/>
  <dimension ref="A1:N1535"/>
  <sheetViews>
    <sheetView tabSelected="1" zoomScaleNormal="100" workbookViewId="0">
      <selection activeCell="N15" sqref="N15"/>
    </sheetView>
  </sheetViews>
  <sheetFormatPr baseColWidth="10" defaultColWidth="11.453125" defaultRowHeight="14.5" x14ac:dyDescent="0.35"/>
  <cols>
    <col min="1" max="1" width="4.81640625" style="6" bestFit="1" customWidth="1"/>
    <col min="2" max="2" width="9.453125" style="5" bestFit="1" customWidth="1"/>
    <col min="3" max="3" width="10.81640625" style="4" bestFit="1" customWidth="1"/>
    <col min="4" max="4" width="5.81640625" style="3" bestFit="1" customWidth="1"/>
    <col min="5" max="5" width="16.54296875" style="4" bestFit="1" customWidth="1"/>
    <col min="6" max="6" width="31.81640625" style="3" bestFit="1" customWidth="1"/>
    <col min="7" max="7" width="11.453125" style="2" bestFit="1" customWidth="1"/>
    <col min="8" max="8" width="49.81640625" style="1" bestFit="1" customWidth="1"/>
    <col min="10" max="10" width="12.81640625" bestFit="1" customWidth="1"/>
  </cols>
  <sheetData>
    <row r="1" spans="1:14" x14ac:dyDescent="0.35">
      <c r="A1" s="12" t="s">
        <v>16</v>
      </c>
      <c r="B1" s="13" t="s">
        <v>15</v>
      </c>
      <c r="C1" s="12" t="s">
        <v>14</v>
      </c>
      <c r="D1" s="11" t="s">
        <v>13</v>
      </c>
      <c r="E1" s="12" t="s">
        <v>12</v>
      </c>
      <c r="F1" s="11" t="s">
        <v>11</v>
      </c>
      <c r="G1" s="10" t="s">
        <v>10</v>
      </c>
      <c r="H1" s="9" t="s">
        <v>9</v>
      </c>
      <c r="J1" s="26"/>
    </row>
    <row r="2" spans="1:14" x14ac:dyDescent="0.35">
      <c r="A2" s="4" t="s">
        <v>28</v>
      </c>
      <c r="B2" s="5" t="s">
        <v>29</v>
      </c>
      <c r="C2" s="4" t="s">
        <v>28</v>
      </c>
      <c r="D2" s="3" t="s">
        <v>30</v>
      </c>
      <c r="E2" s="4" t="s">
        <v>30</v>
      </c>
      <c r="F2" s="3" t="s">
        <v>30</v>
      </c>
      <c r="G2" s="2" t="str">
        <f>IFERROR(VLOOKUP(B2, SOE!F:G, 2, FALSE), "No probado")</f>
        <v>No probado</v>
      </c>
      <c r="J2" s="27"/>
      <c r="K2" s="27"/>
      <c r="L2" s="27"/>
      <c r="M2" s="27"/>
      <c r="N2" s="27"/>
    </row>
    <row r="3" spans="1:14" x14ac:dyDescent="0.35">
      <c r="A3" s="4"/>
      <c r="B3" s="30"/>
      <c r="D3" s="31"/>
      <c r="F3" s="31"/>
      <c r="G3" s="2" t="str">
        <f>IFERROR(VLOOKUP(B3, SOE!F:G, 2, FALSE), "No probado")</f>
        <v>No probado</v>
      </c>
      <c r="J3" s="27"/>
      <c r="K3" s="27"/>
      <c r="L3" s="27"/>
      <c r="M3" s="27"/>
      <c r="N3" s="28"/>
    </row>
    <row r="4" spans="1:14" x14ac:dyDescent="0.35">
      <c r="A4" s="4"/>
      <c r="B4" s="30"/>
      <c r="D4" s="31"/>
      <c r="F4" s="31"/>
      <c r="G4" s="2" t="str">
        <f>IFERROR(VLOOKUP(B4, SOE!F:G, 2, FALSE), "No probado")</f>
        <v>No probado</v>
      </c>
      <c r="J4" s="27"/>
      <c r="K4" s="27"/>
      <c r="L4" s="27"/>
      <c r="M4" s="27"/>
      <c r="N4" s="28"/>
    </row>
    <row r="5" spans="1:14" x14ac:dyDescent="0.35">
      <c r="A5" s="4"/>
      <c r="B5" s="30"/>
      <c r="D5" s="31"/>
      <c r="F5" s="31"/>
      <c r="G5" s="2" t="str">
        <f>IFERROR(VLOOKUP(B5, SOE!F:G, 2, FALSE), "No probado")</f>
        <v>No probado</v>
      </c>
      <c r="J5" s="27"/>
      <c r="K5" s="27"/>
      <c r="L5" s="27"/>
      <c r="M5" s="27"/>
      <c r="N5" s="28"/>
    </row>
    <row r="6" spans="1:14" x14ac:dyDescent="0.35">
      <c r="A6" s="4"/>
      <c r="B6" s="30"/>
      <c r="D6" s="31"/>
      <c r="F6" s="31"/>
      <c r="G6" s="2" t="str">
        <f>IFERROR(VLOOKUP(B6, SOE!F:G, 2, FALSE), "No probado")</f>
        <v>No probado</v>
      </c>
      <c r="J6" s="27"/>
      <c r="K6" s="27"/>
      <c r="L6" s="27"/>
      <c r="M6" s="27"/>
      <c r="N6" s="28"/>
    </row>
    <row r="7" spans="1:14" x14ac:dyDescent="0.35">
      <c r="A7" s="4"/>
      <c r="B7" s="30"/>
      <c r="D7" s="31"/>
      <c r="F7" s="31"/>
      <c r="G7" s="2" t="str">
        <f>IFERROR(VLOOKUP(B7, SOE!F:G, 2, FALSE), "No probado")</f>
        <v>No probado</v>
      </c>
    </row>
    <row r="8" spans="1:14" x14ac:dyDescent="0.35">
      <c r="A8" s="4"/>
      <c r="B8" s="30"/>
      <c r="D8" s="31"/>
      <c r="F8" s="31"/>
      <c r="G8" s="2" t="str">
        <f>IFERROR(VLOOKUP(B8, SOE!F:G, 2, FALSE), "No probado")</f>
        <v>No probado</v>
      </c>
      <c r="J8" s="27"/>
      <c r="K8" s="33" t="s">
        <v>27</v>
      </c>
      <c r="L8" s="33"/>
      <c r="M8" s="33"/>
    </row>
    <row r="9" spans="1:14" x14ac:dyDescent="0.35">
      <c r="A9" s="4"/>
      <c r="B9" s="30"/>
      <c r="D9" s="31"/>
      <c r="F9" s="31"/>
      <c r="G9" s="2" t="str">
        <f>IFERROR(VLOOKUP(B9, SOE!F:G, 2, FALSE), "No probado")</f>
        <v>No probado</v>
      </c>
      <c r="K9" s="26"/>
    </row>
    <row r="10" spans="1:14" x14ac:dyDescent="0.35">
      <c r="A10" s="4"/>
      <c r="B10" s="30"/>
      <c r="D10" s="31"/>
      <c r="F10" s="31"/>
      <c r="G10" s="2" t="str">
        <f>IFERROR(VLOOKUP(B10, SOE!F:G, 2, FALSE), "No probado")</f>
        <v>No probado</v>
      </c>
      <c r="J10" s="8" t="s">
        <v>8</v>
      </c>
      <c r="K10" s="8" t="s">
        <v>7</v>
      </c>
      <c r="L10" s="8" t="s">
        <v>6</v>
      </c>
      <c r="M10" s="8" t="s">
        <v>5</v>
      </c>
      <c r="N10" s="8" t="s">
        <v>4</v>
      </c>
    </row>
    <row r="11" spans="1:14" x14ac:dyDescent="0.35">
      <c r="A11" s="4"/>
      <c r="B11" s="30"/>
      <c r="D11" s="31"/>
      <c r="F11" s="31"/>
      <c r="G11" s="2" t="str">
        <f>IFERROR(VLOOKUP(B11, SOE!F:G, 2, FALSE), "No probado")</f>
        <v>No probado</v>
      </c>
      <c r="J11" s="8" t="s">
        <v>3</v>
      </c>
      <c r="K11" s="8">
        <f>+SUM(L11,M11)</f>
        <v>0</v>
      </c>
      <c r="L11" s="8">
        <f>COUNTIFS($B:$B, "02*", $G:$G, "Good")</f>
        <v>0</v>
      </c>
      <c r="M11" s="8">
        <f>COUNTIFS($B:$B, "02*", $G:$G, "No probado")</f>
        <v>0</v>
      </c>
      <c r="N11" s="7" t="str">
        <f>+IFERROR((L11/K11)*100,"N/A")</f>
        <v>N/A</v>
      </c>
    </row>
    <row r="12" spans="1:14" x14ac:dyDescent="0.35">
      <c r="A12" s="4"/>
      <c r="B12" s="30"/>
      <c r="D12" s="31"/>
      <c r="F12" s="31"/>
      <c r="G12" s="2" t="str">
        <f>IFERROR(VLOOKUP(B12, SOE!F:G, 2, FALSE), "No probado")</f>
        <v>No probado</v>
      </c>
      <c r="J12" s="8" t="s">
        <v>2</v>
      </c>
      <c r="K12" s="8">
        <f>+SUM(L12,M12)</f>
        <v>0</v>
      </c>
      <c r="L12" s="8">
        <f>COUNTIFS($B:$B, "01*", $G:$G, "Good")</f>
        <v>0</v>
      </c>
      <c r="M12" s="8">
        <f>COUNTIFS($B:$B, "01*", $G:$G, "No probado")</f>
        <v>0</v>
      </c>
      <c r="N12" s="7" t="str">
        <f>+IFERROR((L12/K12)*100,"N/A")</f>
        <v>N/A</v>
      </c>
    </row>
    <row r="13" spans="1:14" x14ac:dyDescent="0.35">
      <c r="A13" s="4"/>
      <c r="B13" s="30"/>
      <c r="D13" s="31"/>
      <c r="F13" s="31"/>
      <c r="G13" s="2" t="str">
        <f>IFERROR(VLOOKUP(B13, SOE!F:G, 2, FALSE), "No probado")</f>
        <v>No probado</v>
      </c>
      <c r="J13" s="8" t="s">
        <v>1</v>
      </c>
      <c r="K13" s="29">
        <f>COUNTIF(ANALOG!$B:$B, "03*")+COUNTIF(ANALOG!$B:$B, "04*")</f>
        <v>0</v>
      </c>
      <c r="L13" s="8">
        <f>+K13-M13</f>
        <v>0</v>
      </c>
      <c r="M13" s="29">
        <f>COUNTIFS(ANALOG!$B:$B, "03*", ANALOG!$G:$G, "No probado")+COUNTIFS(ANALOG!$B:$B, "04*", ANALOG!$G:$G, "No probado")</f>
        <v>0</v>
      </c>
      <c r="N13" s="7" t="str">
        <f>+IFERROR((L13/K13)*100,"N/A")</f>
        <v>N/A</v>
      </c>
    </row>
    <row r="14" spans="1:14" x14ac:dyDescent="0.35">
      <c r="A14" s="4"/>
      <c r="B14" s="30"/>
      <c r="D14" s="31"/>
      <c r="F14" s="31"/>
      <c r="G14" s="2" t="str">
        <f>IFERROR(VLOOKUP(B14, SOE!F:G, 2, FALSE), "No probado")</f>
        <v>No probado</v>
      </c>
      <c r="J14" s="8" t="s">
        <v>0</v>
      </c>
      <c r="K14" s="8">
        <f>COUNTIF(CMD!$B:$B, "02*")+COUNTIF(CMD!$B:$B, "41*")</f>
        <v>0</v>
      </c>
      <c r="L14" s="8">
        <f>COUNTIFS(CMD!$B:$B, "02*", CMD!$E:$E, "ok")+COUNTIFS(CMD!$B:$B, "41*", CMD!$E:$E, "ok")</f>
        <v>0</v>
      </c>
      <c r="M14" s="8">
        <f>+K14-L14</f>
        <v>0</v>
      </c>
      <c r="N14" s="7" t="str">
        <f>+IFERROR((L14/K14)*100,"N/A")</f>
        <v>N/A</v>
      </c>
    </row>
    <row r="15" spans="1:14" x14ac:dyDescent="0.35">
      <c r="A15" s="4"/>
      <c r="G15" s="2" t="str">
        <f>IFERROR(VLOOKUP(B15, SOE!F:G, 2, FALSE), "No probado")</f>
        <v>No probado</v>
      </c>
    </row>
    <row r="16" spans="1:14" x14ac:dyDescent="0.35">
      <c r="A16" s="4"/>
      <c r="G16" s="2" t="str">
        <f>IFERROR(VLOOKUP(B16, SOE!F:G, 2, FALSE), "No probado")</f>
        <v>No probado</v>
      </c>
    </row>
    <row r="17" spans="1:7" x14ac:dyDescent="0.35">
      <c r="A17" s="4"/>
      <c r="G17" s="2" t="str">
        <f>IFERROR(VLOOKUP(B17, SOE!F:G, 2, FALSE), "No probado")</f>
        <v>No probado</v>
      </c>
    </row>
    <row r="18" spans="1:7" x14ac:dyDescent="0.35">
      <c r="A18" s="4"/>
      <c r="G18" s="2" t="str">
        <f>IFERROR(VLOOKUP(B18, SOE!F:G, 2, FALSE), "No probado")</f>
        <v>No probado</v>
      </c>
    </row>
    <row r="19" spans="1:7" x14ac:dyDescent="0.35">
      <c r="A19" s="4"/>
      <c r="G19" s="2" t="str">
        <f>IFERROR(VLOOKUP(B19, SOE!F:G, 2, FALSE), "No probado")</f>
        <v>No probado</v>
      </c>
    </row>
    <row r="20" spans="1:7" x14ac:dyDescent="0.35">
      <c r="A20" s="4"/>
      <c r="G20" s="2" t="str">
        <f>IFERROR(VLOOKUP(B20, SOE!F:G, 2, FALSE), "No probado")</f>
        <v>No probado</v>
      </c>
    </row>
    <row r="21" spans="1:7" x14ac:dyDescent="0.35">
      <c r="A21" s="4"/>
      <c r="G21" s="2" t="str">
        <f>IFERROR(VLOOKUP(B21, SOE!F:G, 2, FALSE), "No probado")</f>
        <v>No probado</v>
      </c>
    </row>
    <row r="22" spans="1:7" x14ac:dyDescent="0.35">
      <c r="A22" s="4"/>
      <c r="G22" s="2" t="str">
        <f>IFERROR(VLOOKUP(B22, SOE!F:G, 2, FALSE), "No probado")</f>
        <v>No probado</v>
      </c>
    </row>
    <row r="23" spans="1:7" x14ac:dyDescent="0.35">
      <c r="A23" s="4"/>
      <c r="G23" s="2" t="str">
        <f>IFERROR(VLOOKUP(B23, SOE!F:G, 2, FALSE), "No probado")</f>
        <v>No probado</v>
      </c>
    </row>
    <row r="24" spans="1:7" x14ac:dyDescent="0.35">
      <c r="A24" s="4"/>
      <c r="G24" s="2" t="str">
        <f>IFERROR(VLOOKUP(B24, SOE!F:G, 2, FALSE), "No probado")</f>
        <v>No probado</v>
      </c>
    </row>
    <row r="25" spans="1:7" x14ac:dyDescent="0.35">
      <c r="A25" s="4"/>
      <c r="G25" s="2" t="str">
        <f>IFERROR(VLOOKUP(B25, SOE!F:G, 2, FALSE), "No probado")</f>
        <v>No probado</v>
      </c>
    </row>
    <row r="26" spans="1:7" x14ac:dyDescent="0.35">
      <c r="A26" s="4"/>
      <c r="G26" s="2" t="str">
        <f>IFERROR(VLOOKUP(B26, SOE!F:G, 2, FALSE), "No probado")</f>
        <v>No probado</v>
      </c>
    </row>
    <row r="27" spans="1:7" x14ac:dyDescent="0.35">
      <c r="A27" s="4"/>
      <c r="G27" s="2" t="str">
        <f>IFERROR(VLOOKUP(B27, SOE!F:G, 2, FALSE), "No probado")</f>
        <v>No probado</v>
      </c>
    </row>
    <row r="28" spans="1:7" x14ac:dyDescent="0.35">
      <c r="A28" s="4"/>
      <c r="G28" s="2" t="str">
        <f>IFERROR(VLOOKUP(B28, SOE!F:G, 2, FALSE), "No probado")</f>
        <v>No probado</v>
      </c>
    </row>
    <row r="29" spans="1:7" x14ac:dyDescent="0.35">
      <c r="A29" s="4"/>
      <c r="G29" s="2" t="str">
        <f>IFERROR(VLOOKUP(B29, SOE!F:G, 2, FALSE), "No probado")</f>
        <v>No probado</v>
      </c>
    </row>
    <row r="30" spans="1:7" x14ac:dyDescent="0.35">
      <c r="A30" s="4"/>
      <c r="G30" s="2" t="str">
        <f>IFERROR(VLOOKUP(B30, SOE!F:G, 2, FALSE), "No probado")</f>
        <v>No probado</v>
      </c>
    </row>
    <row r="31" spans="1:7" x14ac:dyDescent="0.35">
      <c r="A31" s="4"/>
      <c r="G31" s="2" t="str">
        <f>IFERROR(VLOOKUP(B31, SOE!F:G, 2, FALSE), "No probado")</f>
        <v>No probado</v>
      </c>
    </row>
    <row r="32" spans="1:7" x14ac:dyDescent="0.35">
      <c r="A32" s="4"/>
      <c r="G32" s="2" t="str">
        <f>IFERROR(VLOOKUP(B32, SOE!F:G, 2, FALSE), "No probado")</f>
        <v>No probado</v>
      </c>
    </row>
    <row r="33" spans="1:7" x14ac:dyDescent="0.35">
      <c r="A33" s="4"/>
      <c r="G33" s="2" t="str">
        <f>IFERROR(VLOOKUP(B33, SOE!F:G, 2, FALSE), "No probado")</f>
        <v>No probado</v>
      </c>
    </row>
    <row r="34" spans="1:7" x14ac:dyDescent="0.35">
      <c r="A34" s="4"/>
      <c r="G34" s="2" t="str">
        <f>IFERROR(VLOOKUP(B34, SOE!F:G, 2, FALSE), "No probado")</f>
        <v>No probado</v>
      </c>
    </row>
    <row r="35" spans="1:7" x14ac:dyDescent="0.35">
      <c r="A35" s="4"/>
      <c r="G35" s="2" t="str">
        <f>IFERROR(VLOOKUP(B35, SOE!F:G, 2, FALSE), "No probado")</f>
        <v>No probado</v>
      </c>
    </row>
    <row r="36" spans="1:7" x14ac:dyDescent="0.35">
      <c r="A36" s="4"/>
      <c r="G36" s="2" t="str">
        <f>IFERROR(VLOOKUP(B36, SOE!F:G, 2, FALSE), "No probado")</f>
        <v>No probado</v>
      </c>
    </row>
    <row r="37" spans="1:7" x14ac:dyDescent="0.35">
      <c r="A37" s="4"/>
      <c r="G37" s="2" t="str">
        <f>IFERROR(VLOOKUP(B37, SOE!F:G, 2, FALSE), "No probado")</f>
        <v>No probado</v>
      </c>
    </row>
    <row r="38" spans="1:7" x14ac:dyDescent="0.35">
      <c r="A38" s="4"/>
      <c r="G38" s="2" t="str">
        <f>IFERROR(VLOOKUP(B38, SOE!F:G, 2, FALSE), "No probado")</f>
        <v>No probado</v>
      </c>
    </row>
    <row r="39" spans="1:7" x14ac:dyDescent="0.35">
      <c r="A39" s="4"/>
      <c r="G39" s="2" t="str">
        <f>IFERROR(VLOOKUP(B39, SOE!F:G, 2, FALSE), "No probado")</f>
        <v>No probado</v>
      </c>
    </row>
    <row r="40" spans="1:7" x14ac:dyDescent="0.35">
      <c r="A40" s="4"/>
      <c r="G40" s="2" t="str">
        <f>IFERROR(VLOOKUP(B40, SOE!F:G, 2, FALSE), "No probado")</f>
        <v>No probado</v>
      </c>
    </row>
    <row r="41" spans="1:7" x14ac:dyDescent="0.35">
      <c r="A41" s="4"/>
      <c r="G41" s="2" t="str">
        <f>IFERROR(VLOOKUP(B41, SOE!F:G, 2, FALSE), "No probado")</f>
        <v>No probado</v>
      </c>
    </row>
    <row r="42" spans="1:7" x14ac:dyDescent="0.35">
      <c r="A42" s="4"/>
      <c r="G42" s="2" t="str">
        <f>IFERROR(VLOOKUP(B42, SOE!F:G, 2, FALSE), "No probado")</f>
        <v>No probado</v>
      </c>
    </row>
    <row r="43" spans="1:7" x14ac:dyDescent="0.35">
      <c r="A43" s="4"/>
      <c r="G43" s="2" t="str">
        <f>IFERROR(VLOOKUP(B43, SOE!F:G, 2, FALSE), "No probado")</f>
        <v>No probado</v>
      </c>
    </row>
    <row r="44" spans="1:7" x14ac:dyDescent="0.35">
      <c r="A44" s="4"/>
      <c r="G44" s="2" t="str">
        <f>IFERROR(VLOOKUP(B44, SOE!F:G, 2, FALSE), "No probado")</f>
        <v>No probado</v>
      </c>
    </row>
    <row r="45" spans="1:7" x14ac:dyDescent="0.35">
      <c r="A45" s="4"/>
      <c r="G45" s="2" t="str">
        <f>IFERROR(VLOOKUP(B45, SOE!F:G, 2, FALSE), "No probado")</f>
        <v>No probado</v>
      </c>
    </row>
    <row r="46" spans="1:7" x14ac:dyDescent="0.35">
      <c r="A46" s="4"/>
      <c r="G46" s="2" t="str">
        <f>IFERROR(VLOOKUP(B46, SOE!F:G, 2, FALSE), "No probado")</f>
        <v>No probado</v>
      </c>
    </row>
    <row r="47" spans="1:7" x14ac:dyDescent="0.35">
      <c r="A47" s="4"/>
      <c r="G47" s="2" t="str">
        <f>IFERROR(VLOOKUP(B47, SOE!F:G, 2, FALSE), "No probado")</f>
        <v>No probado</v>
      </c>
    </row>
    <row r="48" spans="1:7" x14ac:dyDescent="0.35">
      <c r="A48" s="4"/>
      <c r="G48" s="2" t="str">
        <f>IFERROR(VLOOKUP(B48, SOE!F:G, 2, FALSE), "No probado")</f>
        <v>No probado</v>
      </c>
    </row>
    <row r="49" spans="1:7" x14ac:dyDescent="0.35">
      <c r="A49" s="4"/>
      <c r="G49" s="2" t="str">
        <f>IFERROR(VLOOKUP(B49, SOE!F:G, 2, FALSE), "No probado")</f>
        <v>No probado</v>
      </c>
    </row>
    <row r="50" spans="1:7" x14ac:dyDescent="0.35">
      <c r="A50" s="4"/>
      <c r="G50" s="2" t="str">
        <f>IFERROR(VLOOKUP(B50, SOE!F:G, 2, FALSE), "No probado")</f>
        <v>No probado</v>
      </c>
    </row>
    <row r="51" spans="1:7" x14ac:dyDescent="0.35">
      <c r="A51" s="4"/>
      <c r="G51" s="2" t="str">
        <f>IFERROR(VLOOKUP(B51, SOE!F:G, 2, FALSE), "No probado")</f>
        <v>No probado</v>
      </c>
    </row>
    <row r="52" spans="1:7" x14ac:dyDescent="0.35">
      <c r="A52" s="4"/>
      <c r="G52" s="2" t="str">
        <f>IFERROR(VLOOKUP(B52, SOE!F:G, 2, FALSE), "No probado")</f>
        <v>No probado</v>
      </c>
    </row>
    <row r="53" spans="1:7" x14ac:dyDescent="0.35">
      <c r="A53" s="4"/>
      <c r="G53" s="2" t="str">
        <f>IFERROR(VLOOKUP(B53, SOE!F:G, 2, FALSE), "No probado")</f>
        <v>No probado</v>
      </c>
    </row>
    <row r="54" spans="1:7" x14ac:dyDescent="0.35">
      <c r="A54" s="4"/>
      <c r="G54" s="2" t="str">
        <f>IFERROR(VLOOKUP(B54, SOE!F:G, 2, FALSE), "No probado")</f>
        <v>No probado</v>
      </c>
    </row>
    <row r="55" spans="1:7" x14ac:dyDescent="0.35">
      <c r="A55" s="4"/>
      <c r="G55" s="2" t="str">
        <f>IFERROR(VLOOKUP(B55, SOE!F:G, 2, FALSE), "No probado")</f>
        <v>No probado</v>
      </c>
    </row>
    <row r="56" spans="1:7" x14ac:dyDescent="0.35">
      <c r="A56" s="4"/>
      <c r="G56" s="2" t="str">
        <f>IFERROR(VLOOKUP(B56, SOE!F:G, 2, FALSE), "No probado")</f>
        <v>No probado</v>
      </c>
    </row>
    <row r="57" spans="1:7" x14ac:dyDescent="0.35">
      <c r="A57" s="4"/>
      <c r="G57" s="2" t="str">
        <f>IFERROR(VLOOKUP(B57, SOE!F:G, 2, FALSE), "No probado")</f>
        <v>No probado</v>
      </c>
    </row>
    <row r="58" spans="1:7" x14ac:dyDescent="0.35">
      <c r="A58" s="4"/>
      <c r="G58" s="2" t="str">
        <f>IFERROR(VLOOKUP(B58, SOE!F:G, 2, FALSE), "No probado")</f>
        <v>No probado</v>
      </c>
    </row>
    <row r="59" spans="1:7" x14ac:dyDescent="0.35">
      <c r="A59" s="4"/>
      <c r="G59" s="2" t="str">
        <f>IFERROR(VLOOKUP(B59, SOE!F:G, 2, FALSE), "No probado")</f>
        <v>No probado</v>
      </c>
    </row>
    <row r="60" spans="1:7" x14ac:dyDescent="0.35">
      <c r="A60" s="4"/>
      <c r="G60" s="2" t="str">
        <f>IFERROR(VLOOKUP(B60, SOE!F:G, 2, FALSE), "No probado")</f>
        <v>No probado</v>
      </c>
    </row>
    <row r="61" spans="1:7" x14ac:dyDescent="0.35">
      <c r="A61" s="4"/>
      <c r="G61" s="2" t="str">
        <f>IFERROR(VLOOKUP(B61, SOE!F:G, 2, FALSE), "No probado")</f>
        <v>No probado</v>
      </c>
    </row>
    <row r="62" spans="1:7" x14ac:dyDescent="0.35">
      <c r="A62" s="4"/>
      <c r="G62" s="2" t="str">
        <f>IFERROR(VLOOKUP(B62, SOE!F:G, 2, FALSE), "No probado")</f>
        <v>No probado</v>
      </c>
    </row>
    <row r="63" spans="1:7" x14ac:dyDescent="0.35">
      <c r="A63" s="4"/>
      <c r="G63" s="2" t="str">
        <f>IFERROR(VLOOKUP(B63, SOE!F:G, 2, FALSE), "No probado")</f>
        <v>No probado</v>
      </c>
    </row>
    <row r="64" spans="1:7" x14ac:dyDescent="0.35">
      <c r="A64" s="4"/>
      <c r="G64" s="2" t="str">
        <f>IFERROR(VLOOKUP(B64, SOE!F:G, 2, FALSE), "No probado")</f>
        <v>No probado</v>
      </c>
    </row>
    <row r="65" spans="1:7" x14ac:dyDescent="0.35">
      <c r="A65" s="4"/>
      <c r="G65" s="2" t="str">
        <f>IFERROR(VLOOKUP(B65, SOE!F:G, 2, FALSE), "No probado")</f>
        <v>No probado</v>
      </c>
    </row>
    <row r="66" spans="1:7" x14ac:dyDescent="0.35">
      <c r="A66" s="4"/>
      <c r="G66" s="2" t="str">
        <f>IFERROR(VLOOKUP(B66, SOE!F:G, 2, FALSE), "No probado")</f>
        <v>No probado</v>
      </c>
    </row>
    <row r="67" spans="1:7" x14ac:dyDescent="0.35">
      <c r="A67" s="4"/>
      <c r="G67" s="2" t="str">
        <f>IFERROR(VLOOKUP(B67, SOE!F:G, 2, FALSE), "No probado")</f>
        <v>No probado</v>
      </c>
    </row>
    <row r="68" spans="1:7" x14ac:dyDescent="0.35">
      <c r="A68" s="4"/>
      <c r="G68" s="2" t="str">
        <f>IFERROR(VLOOKUP(B68, SOE!F:G, 2, FALSE), "No probado")</f>
        <v>No probado</v>
      </c>
    </row>
    <row r="69" spans="1:7" x14ac:dyDescent="0.35">
      <c r="A69" s="4"/>
      <c r="G69" s="2" t="str">
        <f>IFERROR(VLOOKUP(B69, SOE!F:G, 2, FALSE), "No probado")</f>
        <v>No probado</v>
      </c>
    </row>
    <row r="70" spans="1:7" x14ac:dyDescent="0.35">
      <c r="A70" s="4"/>
      <c r="G70" s="2" t="str">
        <f>IFERROR(VLOOKUP(B70, SOE!F:G, 2, FALSE), "No probado")</f>
        <v>No probado</v>
      </c>
    </row>
    <row r="71" spans="1:7" x14ac:dyDescent="0.35">
      <c r="A71" s="4"/>
      <c r="G71" s="2" t="str">
        <f>IFERROR(VLOOKUP(B71, SOE!F:G, 2, FALSE), "No probado")</f>
        <v>No probado</v>
      </c>
    </row>
    <row r="72" spans="1:7" x14ac:dyDescent="0.35">
      <c r="A72" s="4"/>
      <c r="G72" s="2" t="str">
        <f>IFERROR(VLOOKUP(B72, SOE!F:G, 2, FALSE), "No probado")</f>
        <v>No probado</v>
      </c>
    </row>
    <row r="73" spans="1:7" x14ac:dyDescent="0.35">
      <c r="A73" s="4"/>
      <c r="G73" s="2" t="str">
        <f>IFERROR(VLOOKUP(B73, SOE!F:G, 2, FALSE), "No probado")</f>
        <v>No probado</v>
      </c>
    </row>
    <row r="74" spans="1:7" x14ac:dyDescent="0.35">
      <c r="A74" s="4"/>
      <c r="G74" s="2" t="str">
        <f>IFERROR(VLOOKUP(B74, SOE!F:G, 2, FALSE), "No probado")</f>
        <v>No probado</v>
      </c>
    </row>
    <row r="75" spans="1:7" x14ac:dyDescent="0.35">
      <c r="A75" s="4"/>
      <c r="G75" s="2" t="str">
        <f>IFERROR(VLOOKUP(B75, SOE!F:G, 2, FALSE), "No probado")</f>
        <v>No probado</v>
      </c>
    </row>
    <row r="76" spans="1:7" x14ac:dyDescent="0.35">
      <c r="A76" s="4"/>
      <c r="G76" s="2" t="str">
        <f>IFERROR(VLOOKUP(B76, SOE!F:G, 2, FALSE), "No probado")</f>
        <v>No probado</v>
      </c>
    </row>
    <row r="77" spans="1:7" x14ac:dyDescent="0.35">
      <c r="A77" s="4"/>
      <c r="G77" s="2" t="str">
        <f>IFERROR(VLOOKUP(B77, SOE!F:G, 2, FALSE), "No probado")</f>
        <v>No probado</v>
      </c>
    </row>
    <row r="78" spans="1:7" x14ac:dyDescent="0.35">
      <c r="A78" s="4"/>
      <c r="G78" s="2" t="str">
        <f>IFERROR(VLOOKUP(B78, SOE!F:G, 2, FALSE), "No probado")</f>
        <v>No probado</v>
      </c>
    </row>
    <row r="79" spans="1:7" x14ac:dyDescent="0.35">
      <c r="A79" s="4"/>
      <c r="G79" s="2" t="str">
        <f>IFERROR(VLOOKUP(B79, SOE!F:G, 2, FALSE), "No probado")</f>
        <v>No probado</v>
      </c>
    </row>
    <row r="80" spans="1:7" x14ac:dyDescent="0.35">
      <c r="A80" s="4"/>
      <c r="G80" s="2" t="str">
        <f>IFERROR(VLOOKUP(B80, SOE!F:G, 2, FALSE), "No probado")</f>
        <v>No probado</v>
      </c>
    </row>
    <row r="81" spans="1:7" x14ac:dyDescent="0.35">
      <c r="A81" s="4"/>
      <c r="G81" s="2" t="str">
        <f>IFERROR(VLOOKUP(B81, SOE!F:G, 2, FALSE), "No probado")</f>
        <v>No probado</v>
      </c>
    </row>
    <row r="82" spans="1:7" x14ac:dyDescent="0.35">
      <c r="A82" s="4"/>
      <c r="G82" s="2" t="str">
        <f>IFERROR(VLOOKUP(B82, SOE!F:G, 2, FALSE), "No probado")</f>
        <v>No probado</v>
      </c>
    </row>
    <row r="83" spans="1:7" x14ac:dyDescent="0.35">
      <c r="A83" s="4"/>
      <c r="G83" s="2" t="str">
        <f>IFERROR(VLOOKUP(B83, SOE!F:G, 2, FALSE), "No probado")</f>
        <v>No probado</v>
      </c>
    </row>
    <row r="84" spans="1:7" x14ac:dyDescent="0.35">
      <c r="A84" s="4"/>
      <c r="G84" s="2" t="str">
        <f>IFERROR(VLOOKUP(B84, SOE!F:G, 2, FALSE), "No probado")</f>
        <v>No probado</v>
      </c>
    </row>
    <row r="85" spans="1:7" x14ac:dyDescent="0.35">
      <c r="A85" s="4"/>
      <c r="G85" s="2" t="str">
        <f>IFERROR(VLOOKUP(B85, SOE!F:G, 2, FALSE), "No probado")</f>
        <v>No probado</v>
      </c>
    </row>
    <row r="86" spans="1:7" x14ac:dyDescent="0.35">
      <c r="A86" s="4"/>
      <c r="G86" s="2" t="str">
        <f>IFERROR(VLOOKUP(B86, SOE!F:G, 2, FALSE), "No probado")</f>
        <v>No probado</v>
      </c>
    </row>
    <row r="87" spans="1:7" x14ac:dyDescent="0.35">
      <c r="A87" s="4"/>
      <c r="G87" s="2" t="str">
        <f>IFERROR(VLOOKUP(B87, SOE!F:G, 2, FALSE), "No probado")</f>
        <v>No probado</v>
      </c>
    </row>
    <row r="88" spans="1:7" x14ac:dyDescent="0.35">
      <c r="A88" s="4"/>
      <c r="G88" s="2" t="str">
        <f>IFERROR(VLOOKUP(B88, SOE!F:G, 2, FALSE), "No probado")</f>
        <v>No probado</v>
      </c>
    </row>
    <row r="89" spans="1:7" x14ac:dyDescent="0.35">
      <c r="A89" s="4"/>
      <c r="G89" s="2" t="str">
        <f>IFERROR(VLOOKUP(B89, SOE!F:G, 2, FALSE), "No probado")</f>
        <v>No probado</v>
      </c>
    </row>
    <row r="90" spans="1:7" x14ac:dyDescent="0.35">
      <c r="A90" s="4"/>
      <c r="G90" s="2" t="str">
        <f>IFERROR(VLOOKUP(B90, SOE!F:G, 2, FALSE), "No probado")</f>
        <v>No probado</v>
      </c>
    </row>
    <row r="91" spans="1:7" x14ac:dyDescent="0.35">
      <c r="G91" s="2" t="str">
        <f>IFERROR(VLOOKUP(B91, SOE!F:G, 2, FALSE), "No probado")</f>
        <v>No probado</v>
      </c>
    </row>
    <row r="92" spans="1:7" x14ac:dyDescent="0.35">
      <c r="G92" s="2" t="str">
        <f>IFERROR(VLOOKUP(B92, SOE!F:G, 2, FALSE), "No probado")</f>
        <v>No probado</v>
      </c>
    </row>
    <row r="93" spans="1:7" x14ac:dyDescent="0.35">
      <c r="G93" s="2" t="str">
        <f>IFERROR(VLOOKUP(B93, SOE!F:G, 2, FALSE), "No probado")</f>
        <v>No probado</v>
      </c>
    </row>
    <row r="94" spans="1:7" x14ac:dyDescent="0.35">
      <c r="G94" s="2" t="str">
        <f>IFERROR(VLOOKUP(B94, SOE!F:G, 2, FALSE), "No probado")</f>
        <v>No probado</v>
      </c>
    </row>
    <row r="95" spans="1:7" x14ac:dyDescent="0.35">
      <c r="G95" s="2" t="str">
        <f>IFERROR(VLOOKUP(B95, SOE!F:G, 2, FALSE), "No probado")</f>
        <v>No probado</v>
      </c>
    </row>
    <row r="96" spans="1:7" x14ac:dyDescent="0.35">
      <c r="G96" s="2" t="str">
        <f>IFERROR(VLOOKUP(B96, SOE!F:G, 2, FALSE), "No probado")</f>
        <v>No probado</v>
      </c>
    </row>
    <row r="97" spans="7:7" x14ac:dyDescent="0.35">
      <c r="G97" s="2" t="str">
        <f>IFERROR(VLOOKUP(B97, SOE!F:G, 2, FALSE), "No probado")</f>
        <v>No probado</v>
      </c>
    </row>
    <row r="98" spans="7:7" x14ac:dyDescent="0.35">
      <c r="G98" s="2" t="str">
        <f>IFERROR(VLOOKUP(B98, SOE!F:G, 2, FALSE), "No probado")</f>
        <v>No probado</v>
      </c>
    </row>
    <row r="99" spans="7:7" x14ac:dyDescent="0.35">
      <c r="G99" s="2" t="str">
        <f>IFERROR(VLOOKUP(B99, SOE!F:G, 2, FALSE), "No probado")</f>
        <v>No probado</v>
      </c>
    </row>
    <row r="100" spans="7:7" x14ac:dyDescent="0.35">
      <c r="G100" s="2" t="str">
        <f>IFERROR(VLOOKUP(B100, SOE!F:G, 2, FALSE), "No probado")</f>
        <v>No probado</v>
      </c>
    </row>
    <row r="101" spans="7:7" x14ac:dyDescent="0.35">
      <c r="G101" s="2" t="str">
        <f>IFERROR(VLOOKUP(B101, SOE!F:G, 2, FALSE), "No probado")</f>
        <v>No probado</v>
      </c>
    </row>
    <row r="102" spans="7:7" x14ac:dyDescent="0.35">
      <c r="G102" s="2" t="str">
        <f>IFERROR(VLOOKUP(B102, SOE!F:G, 2, FALSE), "No probado")</f>
        <v>No probado</v>
      </c>
    </row>
    <row r="103" spans="7:7" x14ac:dyDescent="0.35">
      <c r="G103" s="2" t="str">
        <f>IFERROR(VLOOKUP(B103, SOE!F:G, 2, FALSE), "No probado")</f>
        <v>No probado</v>
      </c>
    </row>
    <row r="104" spans="7:7" x14ac:dyDescent="0.35">
      <c r="G104" s="2" t="str">
        <f>IFERROR(VLOOKUP(B104, SOE!F:G, 2, FALSE), "No probado")</f>
        <v>No probado</v>
      </c>
    </row>
    <row r="105" spans="7:7" x14ac:dyDescent="0.35">
      <c r="G105" s="2" t="str">
        <f>IFERROR(VLOOKUP(B105, SOE!F:G, 2, FALSE), "No probado")</f>
        <v>No probado</v>
      </c>
    </row>
    <row r="106" spans="7:7" x14ac:dyDescent="0.35">
      <c r="G106" s="2" t="str">
        <f>IFERROR(VLOOKUP(B106, SOE!F:G, 2, FALSE), "No probado")</f>
        <v>No probado</v>
      </c>
    </row>
    <row r="107" spans="7:7" x14ac:dyDescent="0.35">
      <c r="G107" s="2" t="str">
        <f>IFERROR(VLOOKUP(B107, SOE!F:G, 2, FALSE), "No probado")</f>
        <v>No probado</v>
      </c>
    </row>
    <row r="108" spans="7:7" x14ac:dyDescent="0.35">
      <c r="G108" s="2" t="str">
        <f>IFERROR(VLOOKUP(B108, SOE!F:G, 2, FALSE), "No probado")</f>
        <v>No probado</v>
      </c>
    </row>
    <row r="109" spans="7:7" x14ac:dyDescent="0.35">
      <c r="G109" s="2" t="str">
        <f>IFERROR(VLOOKUP(B109, SOE!F:G, 2, FALSE), "No probado")</f>
        <v>No probado</v>
      </c>
    </row>
    <row r="110" spans="7:7" x14ac:dyDescent="0.35">
      <c r="G110" s="2" t="str">
        <f>IFERROR(VLOOKUP(B110, SOE!F:G, 2, FALSE), "No probado")</f>
        <v>No probado</v>
      </c>
    </row>
    <row r="111" spans="7:7" x14ac:dyDescent="0.35">
      <c r="G111" s="2" t="str">
        <f>IFERROR(VLOOKUP(B111, SOE!F:G, 2, FALSE), "No probado")</f>
        <v>No probado</v>
      </c>
    </row>
    <row r="112" spans="7:7" x14ac:dyDescent="0.35">
      <c r="G112" s="2" t="str">
        <f>IFERROR(VLOOKUP(B112, SOE!F:G, 2, FALSE), "No probado")</f>
        <v>No probado</v>
      </c>
    </row>
    <row r="113" spans="7:7" x14ac:dyDescent="0.35">
      <c r="G113" s="2" t="str">
        <f>IFERROR(VLOOKUP(B113, SOE!F:G, 2, FALSE), "No probado")</f>
        <v>No probado</v>
      </c>
    </row>
    <row r="114" spans="7:7" x14ac:dyDescent="0.35">
      <c r="G114" s="2" t="str">
        <f>IFERROR(VLOOKUP(B114, SOE!F:G, 2, FALSE), "No probado")</f>
        <v>No probado</v>
      </c>
    </row>
    <row r="115" spans="7:7" x14ac:dyDescent="0.35">
      <c r="G115" s="2" t="str">
        <f>IFERROR(VLOOKUP(B115, SOE!F:G, 2, FALSE), "No probado")</f>
        <v>No probado</v>
      </c>
    </row>
    <row r="116" spans="7:7" x14ac:dyDescent="0.35">
      <c r="G116" s="2" t="str">
        <f>IFERROR(VLOOKUP(B116, SOE!F:G, 2, FALSE), "No probado")</f>
        <v>No probado</v>
      </c>
    </row>
    <row r="117" spans="7:7" x14ac:dyDescent="0.35">
      <c r="G117" s="2" t="str">
        <f>IFERROR(VLOOKUP(B117, SOE!F:G, 2, FALSE), "No probado")</f>
        <v>No probado</v>
      </c>
    </row>
    <row r="118" spans="7:7" x14ac:dyDescent="0.35">
      <c r="G118" s="2" t="str">
        <f>IFERROR(VLOOKUP(B118, SOE!F:G, 2, FALSE), "No probado")</f>
        <v>No probado</v>
      </c>
    </row>
    <row r="119" spans="7:7" x14ac:dyDescent="0.35">
      <c r="G119" s="2" t="str">
        <f>IFERROR(VLOOKUP(B119, SOE!F:G, 2, FALSE), "No probado")</f>
        <v>No probado</v>
      </c>
    </row>
    <row r="120" spans="7:7" x14ac:dyDescent="0.35">
      <c r="G120" s="2" t="str">
        <f>IFERROR(VLOOKUP(B120, SOE!F:G, 2, FALSE), "No probado")</f>
        <v>No probado</v>
      </c>
    </row>
    <row r="121" spans="7:7" x14ac:dyDescent="0.35">
      <c r="G121" s="2" t="str">
        <f>IFERROR(VLOOKUP(B121, SOE!F:G, 2, FALSE), "No probado")</f>
        <v>No probado</v>
      </c>
    </row>
    <row r="122" spans="7:7" x14ac:dyDescent="0.35">
      <c r="G122" s="2" t="str">
        <f>IFERROR(VLOOKUP(B122, SOE!F:G, 2, FALSE), "No probado")</f>
        <v>No probado</v>
      </c>
    </row>
    <row r="123" spans="7:7" x14ac:dyDescent="0.35">
      <c r="G123" s="2" t="str">
        <f>IFERROR(VLOOKUP(B123, SOE!F:G, 2, FALSE), "No probado")</f>
        <v>No probado</v>
      </c>
    </row>
    <row r="124" spans="7:7" x14ac:dyDescent="0.35">
      <c r="G124" s="2" t="str">
        <f>IFERROR(VLOOKUP(B124, SOE!F:G, 2, FALSE), "No probado")</f>
        <v>No probado</v>
      </c>
    </row>
    <row r="125" spans="7:7" x14ac:dyDescent="0.35">
      <c r="G125" s="2" t="str">
        <f>IFERROR(VLOOKUP(B125, SOE!F:G, 2, FALSE), "No probado")</f>
        <v>No probado</v>
      </c>
    </row>
    <row r="126" spans="7:7" x14ac:dyDescent="0.35">
      <c r="G126" s="2" t="str">
        <f>IFERROR(VLOOKUP(B126, SOE!F:G, 2, FALSE), "No probado")</f>
        <v>No probado</v>
      </c>
    </row>
    <row r="127" spans="7:7" x14ac:dyDescent="0.35">
      <c r="G127" s="2" t="str">
        <f>IFERROR(VLOOKUP(B127, SOE!F:G, 2, FALSE), "No probado")</f>
        <v>No probado</v>
      </c>
    </row>
    <row r="128" spans="7:7" x14ac:dyDescent="0.35">
      <c r="G128" s="2" t="str">
        <f>IFERROR(VLOOKUP(B128, SOE!F:G, 2, FALSE), "No probado")</f>
        <v>No probado</v>
      </c>
    </row>
    <row r="129" spans="7:7" x14ac:dyDescent="0.35">
      <c r="G129" s="2" t="str">
        <f>IFERROR(VLOOKUP(B129, SOE!F:G, 2, FALSE), "No probado")</f>
        <v>No probado</v>
      </c>
    </row>
    <row r="130" spans="7:7" x14ac:dyDescent="0.35">
      <c r="G130" s="2" t="str">
        <f>IFERROR(VLOOKUP(B130, SOE!F:G, 2, FALSE), "No probado")</f>
        <v>No probado</v>
      </c>
    </row>
    <row r="131" spans="7:7" x14ac:dyDescent="0.35">
      <c r="G131" s="2" t="str">
        <f>IFERROR(VLOOKUP(B131, SOE!F:G, 2, FALSE), "No probado")</f>
        <v>No probado</v>
      </c>
    </row>
    <row r="132" spans="7:7" x14ac:dyDescent="0.35">
      <c r="G132" s="2" t="str">
        <f>IFERROR(VLOOKUP(B132, SOE!F:G, 2, FALSE), "No probado")</f>
        <v>No probado</v>
      </c>
    </row>
    <row r="133" spans="7:7" x14ac:dyDescent="0.35">
      <c r="G133" s="2" t="str">
        <f>IFERROR(VLOOKUP(B133, SOE!F:G, 2, FALSE), "No probado")</f>
        <v>No probado</v>
      </c>
    </row>
    <row r="134" spans="7:7" x14ac:dyDescent="0.35">
      <c r="G134" s="2" t="str">
        <f>IFERROR(VLOOKUP(B134, SOE!F:G, 2, FALSE), "No probado")</f>
        <v>No probado</v>
      </c>
    </row>
    <row r="135" spans="7:7" x14ac:dyDescent="0.35">
      <c r="G135" s="2" t="str">
        <f>IFERROR(VLOOKUP(B135, SOE!F:G, 2, FALSE), "No probado")</f>
        <v>No probado</v>
      </c>
    </row>
    <row r="136" spans="7:7" x14ac:dyDescent="0.35">
      <c r="G136" s="2" t="str">
        <f>IFERROR(VLOOKUP(B136, SOE!F:G, 2, FALSE), "No probado")</f>
        <v>No probado</v>
      </c>
    </row>
    <row r="137" spans="7:7" x14ac:dyDescent="0.35">
      <c r="G137" s="2" t="str">
        <f>IFERROR(VLOOKUP(B137, SOE!F:G, 2, FALSE), "No probado")</f>
        <v>No probado</v>
      </c>
    </row>
    <row r="138" spans="7:7" x14ac:dyDescent="0.35">
      <c r="G138" s="2" t="str">
        <f>IFERROR(VLOOKUP(B138, SOE!F:G, 2, FALSE), "No probado")</f>
        <v>No probado</v>
      </c>
    </row>
    <row r="139" spans="7:7" x14ac:dyDescent="0.35">
      <c r="G139" s="2" t="str">
        <f>IFERROR(VLOOKUP(B139, SOE!F:G, 2, FALSE), "No probado")</f>
        <v>No probado</v>
      </c>
    </row>
    <row r="140" spans="7:7" x14ac:dyDescent="0.35">
      <c r="G140" s="2" t="str">
        <f>IFERROR(VLOOKUP(B140, SOE!F:G, 2, FALSE), "No probado")</f>
        <v>No probado</v>
      </c>
    </row>
    <row r="141" spans="7:7" x14ac:dyDescent="0.35">
      <c r="G141" s="2" t="str">
        <f>IFERROR(VLOOKUP(B141, SOE!F:G, 2, FALSE), "No probado")</f>
        <v>No probado</v>
      </c>
    </row>
    <row r="142" spans="7:7" x14ac:dyDescent="0.35">
      <c r="G142" s="2" t="str">
        <f>IFERROR(VLOOKUP(B142, SOE!F:G, 2, FALSE), "No probado")</f>
        <v>No probado</v>
      </c>
    </row>
    <row r="143" spans="7:7" x14ac:dyDescent="0.35">
      <c r="G143" s="2" t="str">
        <f>IFERROR(VLOOKUP(B143, SOE!F:G, 2, FALSE), "No probado")</f>
        <v>No probado</v>
      </c>
    </row>
    <row r="144" spans="7:7" x14ac:dyDescent="0.35">
      <c r="G144" s="2" t="str">
        <f>IFERROR(VLOOKUP(B144, SOE!F:G, 2, FALSE), "No probado")</f>
        <v>No probado</v>
      </c>
    </row>
    <row r="145" spans="7:7" x14ac:dyDescent="0.35">
      <c r="G145" s="2" t="str">
        <f>IFERROR(VLOOKUP(B145, SOE!F:G, 2, FALSE), "No probado")</f>
        <v>No probado</v>
      </c>
    </row>
    <row r="146" spans="7:7" x14ac:dyDescent="0.35">
      <c r="G146" s="2" t="str">
        <f>IFERROR(VLOOKUP(B146, SOE!F:G, 2, FALSE), "No probado")</f>
        <v>No probado</v>
      </c>
    </row>
    <row r="147" spans="7:7" x14ac:dyDescent="0.35">
      <c r="G147" s="2" t="str">
        <f>IFERROR(VLOOKUP(B147, SOE!F:G, 2, FALSE), "No probado")</f>
        <v>No probado</v>
      </c>
    </row>
    <row r="148" spans="7:7" x14ac:dyDescent="0.35">
      <c r="G148" s="2" t="str">
        <f>IFERROR(VLOOKUP(B148, SOE!F:G, 2, FALSE), "No probado")</f>
        <v>No probado</v>
      </c>
    </row>
    <row r="149" spans="7:7" x14ac:dyDescent="0.35">
      <c r="G149" s="2" t="str">
        <f>IFERROR(VLOOKUP(B149, SOE!F:G, 2, FALSE), "No probado")</f>
        <v>No probado</v>
      </c>
    </row>
    <row r="150" spans="7:7" x14ac:dyDescent="0.35">
      <c r="G150" s="2" t="str">
        <f>IFERROR(VLOOKUP(B150, SOE!F:G, 2, FALSE), "No probado")</f>
        <v>No probado</v>
      </c>
    </row>
    <row r="151" spans="7:7" x14ac:dyDescent="0.35">
      <c r="G151" s="2" t="str">
        <f>IFERROR(VLOOKUP(B151, SOE!F:G, 2, FALSE), "No probado")</f>
        <v>No probado</v>
      </c>
    </row>
    <row r="152" spans="7:7" x14ac:dyDescent="0.35">
      <c r="G152" s="2" t="str">
        <f>IFERROR(VLOOKUP(B152, SOE!F:G, 2, FALSE), "No probado")</f>
        <v>No probado</v>
      </c>
    </row>
    <row r="153" spans="7:7" x14ac:dyDescent="0.35">
      <c r="G153" s="2" t="str">
        <f>IFERROR(VLOOKUP(B153, SOE!F:G, 2, FALSE), "No probado")</f>
        <v>No probado</v>
      </c>
    </row>
    <row r="154" spans="7:7" x14ac:dyDescent="0.35">
      <c r="G154" s="2" t="str">
        <f>IFERROR(VLOOKUP(B154, SOE!F:G, 2, FALSE), "No probado")</f>
        <v>No probado</v>
      </c>
    </row>
    <row r="155" spans="7:7" x14ac:dyDescent="0.35">
      <c r="G155" s="2" t="str">
        <f>IFERROR(VLOOKUP(B155, SOE!F:G, 2, FALSE), "No probado")</f>
        <v>No probado</v>
      </c>
    </row>
    <row r="156" spans="7:7" x14ac:dyDescent="0.35">
      <c r="G156" s="2" t="str">
        <f>IFERROR(VLOOKUP(B156, SOE!F:G, 2, FALSE), "No probado")</f>
        <v>No probado</v>
      </c>
    </row>
    <row r="157" spans="7:7" x14ac:dyDescent="0.35">
      <c r="G157" s="2" t="str">
        <f>IFERROR(VLOOKUP(B157, SOE!F:G, 2, FALSE), "No probado")</f>
        <v>No probado</v>
      </c>
    </row>
    <row r="158" spans="7:7" x14ac:dyDescent="0.35">
      <c r="G158" s="2" t="str">
        <f>IFERROR(VLOOKUP(B158, SOE!F:G, 2, FALSE), "No probado")</f>
        <v>No probado</v>
      </c>
    </row>
    <row r="159" spans="7:7" x14ac:dyDescent="0.35">
      <c r="G159" s="2" t="str">
        <f>IFERROR(VLOOKUP(B159, SOE!F:G, 2, FALSE), "No probado")</f>
        <v>No probado</v>
      </c>
    </row>
    <row r="160" spans="7:7" x14ac:dyDescent="0.35">
      <c r="G160" s="2" t="str">
        <f>IFERROR(VLOOKUP(B160, SOE!F:G, 2, FALSE), "No probado")</f>
        <v>No probado</v>
      </c>
    </row>
    <row r="161" spans="7:7" x14ac:dyDescent="0.35">
      <c r="G161" s="2" t="str">
        <f>IFERROR(VLOOKUP(B161, SOE!F:G, 2, FALSE), "No probado")</f>
        <v>No probado</v>
      </c>
    </row>
    <row r="162" spans="7:7" x14ac:dyDescent="0.35">
      <c r="G162" s="2" t="str">
        <f>IFERROR(VLOOKUP(B162, SOE!F:G, 2, FALSE), "No probado")</f>
        <v>No probado</v>
      </c>
    </row>
    <row r="163" spans="7:7" x14ac:dyDescent="0.35">
      <c r="G163" s="2" t="str">
        <f>IFERROR(VLOOKUP(B163, SOE!F:G, 2, FALSE), "No probado")</f>
        <v>No probado</v>
      </c>
    </row>
    <row r="164" spans="7:7" x14ac:dyDescent="0.35">
      <c r="G164" s="2" t="str">
        <f>IFERROR(VLOOKUP(B164, SOE!F:G, 2, FALSE), "No probado")</f>
        <v>No probado</v>
      </c>
    </row>
    <row r="165" spans="7:7" x14ac:dyDescent="0.35">
      <c r="G165" s="2" t="str">
        <f>IFERROR(VLOOKUP(B165, SOE!F:G, 2, FALSE), "No probado")</f>
        <v>No probado</v>
      </c>
    </row>
    <row r="166" spans="7:7" x14ac:dyDescent="0.35">
      <c r="G166" s="2" t="str">
        <f>IFERROR(VLOOKUP(B166, SOE!F:G, 2, FALSE), "No probado")</f>
        <v>No probado</v>
      </c>
    </row>
    <row r="167" spans="7:7" x14ac:dyDescent="0.35">
      <c r="G167" s="2" t="str">
        <f>IFERROR(VLOOKUP(B167, SOE!F:G, 2, FALSE), "No probado")</f>
        <v>No probado</v>
      </c>
    </row>
    <row r="168" spans="7:7" x14ac:dyDescent="0.35">
      <c r="G168" s="2" t="str">
        <f>IFERROR(VLOOKUP(B168, SOE!F:G, 2, FALSE), "No probado")</f>
        <v>No probado</v>
      </c>
    </row>
    <row r="169" spans="7:7" x14ac:dyDescent="0.35">
      <c r="G169" s="2" t="str">
        <f>IFERROR(VLOOKUP(B169, SOE!F:G, 2, FALSE), "No probado")</f>
        <v>No probado</v>
      </c>
    </row>
    <row r="170" spans="7:7" x14ac:dyDescent="0.35">
      <c r="G170" s="2" t="str">
        <f>IFERROR(VLOOKUP(B170, SOE!F:G, 2, FALSE), "No probado")</f>
        <v>No probado</v>
      </c>
    </row>
    <row r="171" spans="7:7" x14ac:dyDescent="0.35">
      <c r="G171" s="2" t="str">
        <f>IFERROR(VLOOKUP(B171, SOE!F:G, 2, FALSE), "No probado")</f>
        <v>No probado</v>
      </c>
    </row>
    <row r="172" spans="7:7" x14ac:dyDescent="0.35">
      <c r="G172" s="2" t="str">
        <f>IFERROR(VLOOKUP(B172, SOE!F:G, 2, FALSE), "No probado")</f>
        <v>No probado</v>
      </c>
    </row>
    <row r="173" spans="7:7" x14ac:dyDescent="0.35">
      <c r="G173" s="2" t="str">
        <f>IFERROR(VLOOKUP(B173, SOE!F:G, 2, FALSE), "No probado")</f>
        <v>No probado</v>
      </c>
    </row>
    <row r="174" spans="7:7" x14ac:dyDescent="0.35">
      <c r="G174" s="2" t="str">
        <f>IFERROR(VLOOKUP(B174, SOE!F:G, 2, FALSE), "No probado")</f>
        <v>No probado</v>
      </c>
    </row>
    <row r="175" spans="7:7" x14ac:dyDescent="0.35">
      <c r="G175" s="2" t="str">
        <f>IFERROR(VLOOKUP(B175, SOE!F:G, 2, FALSE), "No probado")</f>
        <v>No probado</v>
      </c>
    </row>
    <row r="176" spans="7:7" x14ac:dyDescent="0.35">
      <c r="G176" s="2" t="str">
        <f>IFERROR(VLOOKUP(B176, SOE!F:G, 2, FALSE), "No probado")</f>
        <v>No probado</v>
      </c>
    </row>
    <row r="177" spans="7:7" x14ac:dyDescent="0.35">
      <c r="G177" s="2" t="str">
        <f>IFERROR(VLOOKUP(B177, SOE!F:G, 2, FALSE), "No probado")</f>
        <v>No probado</v>
      </c>
    </row>
    <row r="178" spans="7:7" x14ac:dyDescent="0.35">
      <c r="G178" s="2" t="str">
        <f>IFERROR(VLOOKUP(B178, SOE!F:G, 2, FALSE), "No probado")</f>
        <v>No probado</v>
      </c>
    </row>
    <row r="179" spans="7:7" x14ac:dyDescent="0.35">
      <c r="G179" s="2" t="str">
        <f>IFERROR(VLOOKUP(B179, SOE!F:G, 2, FALSE), "No probado")</f>
        <v>No probado</v>
      </c>
    </row>
    <row r="180" spans="7:7" x14ac:dyDescent="0.35">
      <c r="G180" s="2" t="str">
        <f>IFERROR(VLOOKUP(B180, SOE!F:G, 2, FALSE), "No probado")</f>
        <v>No probado</v>
      </c>
    </row>
    <row r="181" spans="7:7" x14ac:dyDescent="0.35">
      <c r="G181" s="2" t="str">
        <f>IFERROR(VLOOKUP(B181, SOE!F:G, 2, FALSE), "No probado")</f>
        <v>No probado</v>
      </c>
    </row>
    <row r="182" spans="7:7" x14ac:dyDescent="0.35">
      <c r="G182" s="2" t="str">
        <f>IFERROR(VLOOKUP(B182, SOE!F:G, 2, FALSE), "No probado")</f>
        <v>No probado</v>
      </c>
    </row>
    <row r="183" spans="7:7" x14ac:dyDescent="0.35">
      <c r="G183" s="2" t="str">
        <f>IFERROR(VLOOKUP(B183, SOE!F:G, 2, FALSE), "No probado")</f>
        <v>No probado</v>
      </c>
    </row>
    <row r="184" spans="7:7" x14ac:dyDescent="0.35">
      <c r="G184" s="2" t="str">
        <f>IFERROR(VLOOKUP(B184, SOE!F:G, 2, FALSE), "No probado")</f>
        <v>No probado</v>
      </c>
    </row>
    <row r="185" spans="7:7" x14ac:dyDescent="0.35">
      <c r="G185" s="2" t="str">
        <f>IFERROR(VLOOKUP(B185, SOE!F:G, 2, FALSE), "No probado")</f>
        <v>No probado</v>
      </c>
    </row>
    <row r="186" spans="7:7" x14ac:dyDescent="0.35">
      <c r="G186" s="2" t="str">
        <f>IFERROR(VLOOKUP(B186, SOE!F:G, 2, FALSE), "No probado")</f>
        <v>No probado</v>
      </c>
    </row>
    <row r="187" spans="7:7" x14ac:dyDescent="0.35">
      <c r="G187" s="2" t="str">
        <f>IFERROR(VLOOKUP(B187, SOE!F:G, 2, FALSE), "No probado")</f>
        <v>No probado</v>
      </c>
    </row>
    <row r="188" spans="7:7" x14ac:dyDescent="0.35">
      <c r="G188" s="2" t="str">
        <f>IFERROR(VLOOKUP(B188, SOE!F:G, 2, FALSE), "No probado")</f>
        <v>No probado</v>
      </c>
    </row>
    <row r="189" spans="7:7" x14ac:dyDescent="0.35">
      <c r="G189" s="2" t="str">
        <f>IFERROR(VLOOKUP(B189, SOE!F:G, 2, FALSE), "No probado")</f>
        <v>No probado</v>
      </c>
    </row>
    <row r="190" spans="7:7" x14ac:dyDescent="0.35">
      <c r="G190" s="2" t="str">
        <f>IFERROR(VLOOKUP(B190, SOE!F:G, 2, FALSE), "No probado")</f>
        <v>No probado</v>
      </c>
    </row>
    <row r="191" spans="7:7" x14ac:dyDescent="0.35">
      <c r="G191" s="2" t="str">
        <f>IFERROR(VLOOKUP(B191, SOE!F:G, 2, FALSE), "No probado")</f>
        <v>No probado</v>
      </c>
    </row>
    <row r="192" spans="7:7" x14ac:dyDescent="0.35">
      <c r="G192" s="2" t="str">
        <f>IFERROR(VLOOKUP(B192, SOE!F:G, 2, FALSE), "No probado")</f>
        <v>No probado</v>
      </c>
    </row>
    <row r="193" spans="7:7" x14ac:dyDescent="0.35">
      <c r="G193" s="2" t="str">
        <f>IFERROR(VLOOKUP(B193, SOE!F:G, 2, FALSE), "No probado")</f>
        <v>No probado</v>
      </c>
    </row>
    <row r="194" spans="7:7" x14ac:dyDescent="0.35">
      <c r="G194" s="2" t="str">
        <f>IFERROR(VLOOKUP(B194, SOE!F:G, 2, FALSE), "No probado")</f>
        <v>No probado</v>
      </c>
    </row>
    <row r="195" spans="7:7" x14ac:dyDescent="0.35">
      <c r="G195" s="2" t="str">
        <f>IFERROR(VLOOKUP(B195, SOE!F:G, 2, FALSE), "No probado")</f>
        <v>No probado</v>
      </c>
    </row>
    <row r="196" spans="7:7" x14ac:dyDescent="0.35">
      <c r="G196" s="2" t="str">
        <f>IFERROR(VLOOKUP(B196, SOE!F:G, 2, FALSE), "No probado")</f>
        <v>No probado</v>
      </c>
    </row>
    <row r="197" spans="7:7" x14ac:dyDescent="0.35">
      <c r="G197" s="2" t="str">
        <f>IFERROR(VLOOKUP(B197, SOE!F:G, 2, FALSE), "No probado")</f>
        <v>No probado</v>
      </c>
    </row>
    <row r="198" spans="7:7" x14ac:dyDescent="0.35">
      <c r="G198" s="2" t="str">
        <f>IFERROR(VLOOKUP(B198, SOE!F:G, 2, FALSE), "No probado")</f>
        <v>No probado</v>
      </c>
    </row>
    <row r="199" spans="7:7" x14ac:dyDescent="0.35">
      <c r="G199" s="2" t="str">
        <f>IFERROR(VLOOKUP(B199, SOE!F:G, 2, FALSE), "No probado")</f>
        <v>No probado</v>
      </c>
    </row>
    <row r="200" spans="7:7" x14ac:dyDescent="0.35">
      <c r="G200" s="2" t="str">
        <f>IFERROR(VLOOKUP(B200, SOE!F:G, 2, FALSE), "No probado")</f>
        <v>No probado</v>
      </c>
    </row>
    <row r="201" spans="7:7" x14ac:dyDescent="0.35">
      <c r="G201" s="2" t="str">
        <f>IFERROR(VLOOKUP(B201, SOE!F:G, 2, FALSE), "No probado")</f>
        <v>No probado</v>
      </c>
    </row>
    <row r="202" spans="7:7" x14ac:dyDescent="0.35">
      <c r="G202" s="2" t="str">
        <f>IFERROR(VLOOKUP(B202, SOE!F:G, 2, FALSE), "No probado")</f>
        <v>No probado</v>
      </c>
    </row>
    <row r="203" spans="7:7" x14ac:dyDescent="0.35">
      <c r="G203" s="2" t="str">
        <f>IFERROR(VLOOKUP(B203, SOE!F:G, 2, FALSE), "No probado")</f>
        <v>No probado</v>
      </c>
    </row>
    <row r="204" spans="7:7" x14ac:dyDescent="0.35">
      <c r="G204" s="2" t="str">
        <f>IFERROR(VLOOKUP(B204, SOE!F:G, 2, FALSE), "No probado")</f>
        <v>No probado</v>
      </c>
    </row>
    <row r="205" spans="7:7" x14ac:dyDescent="0.35">
      <c r="G205" s="2" t="str">
        <f>IFERROR(VLOOKUP(B205, SOE!F:G, 2, FALSE), "No probado")</f>
        <v>No probado</v>
      </c>
    </row>
    <row r="206" spans="7:7" x14ac:dyDescent="0.35">
      <c r="G206" s="2" t="str">
        <f>IFERROR(VLOOKUP(B206, SOE!F:G, 2, FALSE), "No probado")</f>
        <v>No probado</v>
      </c>
    </row>
    <row r="207" spans="7:7" x14ac:dyDescent="0.35">
      <c r="G207" s="2" t="str">
        <f>IFERROR(VLOOKUP(B207, SOE!F:G, 2, FALSE), "No probado")</f>
        <v>No probado</v>
      </c>
    </row>
    <row r="208" spans="7:7" x14ac:dyDescent="0.35">
      <c r="G208" s="2" t="str">
        <f>IFERROR(VLOOKUP(B208, SOE!F:G, 2, FALSE), "No probado")</f>
        <v>No probado</v>
      </c>
    </row>
    <row r="209" spans="7:7" x14ac:dyDescent="0.35">
      <c r="G209" s="2" t="str">
        <f>IFERROR(VLOOKUP(B209, SOE!F:G, 2, FALSE), "No probado")</f>
        <v>No probado</v>
      </c>
    </row>
    <row r="210" spans="7:7" x14ac:dyDescent="0.35">
      <c r="G210" s="2" t="str">
        <f>IFERROR(VLOOKUP(B210, SOE!F:G, 2, FALSE), "No probado")</f>
        <v>No probado</v>
      </c>
    </row>
    <row r="211" spans="7:7" x14ac:dyDescent="0.35">
      <c r="G211" s="2" t="str">
        <f>IFERROR(VLOOKUP(B211, SOE!F:G, 2, FALSE), "No probado")</f>
        <v>No probado</v>
      </c>
    </row>
    <row r="212" spans="7:7" x14ac:dyDescent="0.35">
      <c r="G212" s="2" t="str">
        <f>IFERROR(VLOOKUP(B212, SOE!F:G, 2, FALSE), "No probado")</f>
        <v>No probado</v>
      </c>
    </row>
    <row r="213" spans="7:7" x14ac:dyDescent="0.35">
      <c r="G213" s="2" t="str">
        <f>IFERROR(VLOOKUP(B213, SOE!F:G, 2, FALSE), "No probado")</f>
        <v>No probado</v>
      </c>
    </row>
    <row r="214" spans="7:7" x14ac:dyDescent="0.35">
      <c r="G214" s="2" t="str">
        <f>IFERROR(VLOOKUP(B214, SOE!F:G, 2, FALSE), "No probado")</f>
        <v>No probado</v>
      </c>
    </row>
    <row r="215" spans="7:7" x14ac:dyDescent="0.35">
      <c r="G215" s="2" t="str">
        <f>IFERROR(VLOOKUP(B215, SOE!F:G, 2, FALSE), "No probado")</f>
        <v>No probado</v>
      </c>
    </row>
    <row r="216" spans="7:7" x14ac:dyDescent="0.35">
      <c r="G216" s="2" t="str">
        <f>IFERROR(VLOOKUP(B216, SOE!F:G, 2, FALSE), "No probado")</f>
        <v>No probado</v>
      </c>
    </row>
    <row r="217" spans="7:7" x14ac:dyDescent="0.35">
      <c r="G217" s="2" t="str">
        <f>IFERROR(VLOOKUP(B217, SOE!F:G, 2, FALSE), "No probado")</f>
        <v>No probado</v>
      </c>
    </row>
    <row r="218" spans="7:7" x14ac:dyDescent="0.35">
      <c r="G218" s="2" t="str">
        <f>IFERROR(VLOOKUP(B218, SOE!F:G, 2, FALSE), "No probado")</f>
        <v>No probado</v>
      </c>
    </row>
    <row r="219" spans="7:7" x14ac:dyDescent="0.35">
      <c r="G219" s="2" t="str">
        <f>IFERROR(VLOOKUP(B219, SOE!F:G, 2, FALSE), "No probado")</f>
        <v>No probado</v>
      </c>
    </row>
    <row r="220" spans="7:7" x14ac:dyDescent="0.35">
      <c r="G220" s="2" t="str">
        <f>IFERROR(VLOOKUP(B220, SOE!F:G, 2, FALSE), "No probado")</f>
        <v>No probado</v>
      </c>
    </row>
    <row r="221" spans="7:7" x14ac:dyDescent="0.35">
      <c r="G221" s="2" t="str">
        <f>IFERROR(VLOOKUP(B221, SOE!F:G, 2, FALSE), "No probado")</f>
        <v>No probado</v>
      </c>
    </row>
    <row r="222" spans="7:7" x14ac:dyDescent="0.35">
      <c r="G222" s="2" t="str">
        <f>IFERROR(VLOOKUP(B222, SOE!F:G, 2, FALSE), "No probado")</f>
        <v>No probado</v>
      </c>
    </row>
    <row r="223" spans="7:7" x14ac:dyDescent="0.35">
      <c r="G223" s="2" t="str">
        <f>IFERROR(VLOOKUP(B223, SOE!F:G, 2, FALSE), "No probado")</f>
        <v>No probado</v>
      </c>
    </row>
    <row r="224" spans="7:7" x14ac:dyDescent="0.35">
      <c r="G224" s="2" t="str">
        <f>IFERROR(VLOOKUP(B224, SOE!F:G, 2, FALSE), "No probado")</f>
        <v>No probado</v>
      </c>
    </row>
    <row r="225" spans="7:7" x14ac:dyDescent="0.35">
      <c r="G225" s="2" t="str">
        <f>IFERROR(VLOOKUP(B225, SOE!F:G, 2, FALSE), "No probado")</f>
        <v>No probado</v>
      </c>
    </row>
    <row r="226" spans="7:7" x14ac:dyDescent="0.35">
      <c r="G226" s="2" t="str">
        <f>IFERROR(VLOOKUP(B226, SOE!F:G, 2, FALSE), "No probado")</f>
        <v>No probado</v>
      </c>
    </row>
    <row r="227" spans="7:7" x14ac:dyDescent="0.35">
      <c r="G227" s="2" t="str">
        <f>IFERROR(VLOOKUP(B227, SOE!F:G, 2, FALSE), "No probado")</f>
        <v>No probado</v>
      </c>
    </row>
    <row r="228" spans="7:7" x14ac:dyDescent="0.35">
      <c r="G228" s="2" t="str">
        <f>IFERROR(VLOOKUP(B228, SOE!F:G, 2, FALSE), "No probado")</f>
        <v>No probado</v>
      </c>
    </row>
    <row r="229" spans="7:7" x14ac:dyDescent="0.35">
      <c r="G229" s="2" t="str">
        <f>IFERROR(VLOOKUP(B229, SOE!F:G, 2, FALSE), "No probado")</f>
        <v>No probado</v>
      </c>
    </row>
    <row r="230" spans="7:7" x14ac:dyDescent="0.35">
      <c r="G230" s="2" t="str">
        <f>IFERROR(VLOOKUP(B230, SOE!F:G, 2, FALSE), "No probado")</f>
        <v>No probado</v>
      </c>
    </row>
    <row r="231" spans="7:7" x14ac:dyDescent="0.35">
      <c r="G231" s="2" t="str">
        <f>IFERROR(VLOOKUP(B231, SOE!F:G, 2, FALSE), "No probado")</f>
        <v>No probado</v>
      </c>
    </row>
    <row r="232" spans="7:7" x14ac:dyDescent="0.35">
      <c r="G232" s="2" t="str">
        <f>IFERROR(VLOOKUP(B232, SOE!F:G, 2, FALSE), "No probado")</f>
        <v>No probado</v>
      </c>
    </row>
    <row r="233" spans="7:7" x14ac:dyDescent="0.35">
      <c r="G233" s="2" t="str">
        <f>IFERROR(VLOOKUP(B233, SOE!F:G, 2, FALSE), "No probado")</f>
        <v>No probado</v>
      </c>
    </row>
    <row r="234" spans="7:7" x14ac:dyDescent="0.35">
      <c r="G234" s="2" t="str">
        <f>IFERROR(VLOOKUP(B234, SOE!F:G, 2, FALSE), "No probado")</f>
        <v>No probado</v>
      </c>
    </row>
    <row r="235" spans="7:7" x14ac:dyDescent="0.35">
      <c r="G235" s="2" t="str">
        <f>IFERROR(VLOOKUP(B235, SOE!F:G, 2, FALSE), "No probado")</f>
        <v>No probado</v>
      </c>
    </row>
    <row r="236" spans="7:7" x14ac:dyDescent="0.35">
      <c r="G236" s="2" t="str">
        <f>IFERROR(VLOOKUP(B236, SOE!F:G, 2, FALSE), "No probado")</f>
        <v>No probado</v>
      </c>
    </row>
    <row r="237" spans="7:7" x14ac:dyDescent="0.35">
      <c r="G237" s="2" t="str">
        <f>IFERROR(VLOOKUP(B237, SOE!F:G, 2, FALSE), "No probado")</f>
        <v>No probado</v>
      </c>
    </row>
    <row r="238" spans="7:7" x14ac:dyDescent="0.35">
      <c r="G238" s="2" t="str">
        <f>IFERROR(VLOOKUP(B238, SOE!F:G, 2, FALSE), "No probado")</f>
        <v>No probado</v>
      </c>
    </row>
    <row r="239" spans="7:7" x14ac:dyDescent="0.35">
      <c r="G239" s="2" t="str">
        <f>IFERROR(VLOOKUP(B239, SOE!F:G, 2, FALSE), "No probado")</f>
        <v>No probado</v>
      </c>
    </row>
    <row r="240" spans="7:7" x14ac:dyDescent="0.35">
      <c r="G240" s="2" t="str">
        <f>IFERROR(VLOOKUP(B240, SOE!F:G, 2, FALSE), "No probado")</f>
        <v>No probado</v>
      </c>
    </row>
    <row r="241" spans="7:7" x14ac:dyDescent="0.35">
      <c r="G241" s="2" t="str">
        <f>IFERROR(VLOOKUP(B241, SOE!F:G, 2, FALSE), "No probado")</f>
        <v>No probado</v>
      </c>
    </row>
    <row r="242" spans="7:7" x14ac:dyDescent="0.35">
      <c r="G242" s="2" t="str">
        <f>IFERROR(VLOOKUP(B242, SOE!F:G, 2, FALSE), "No probado")</f>
        <v>No probado</v>
      </c>
    </row>
    <row r="243" spans="7:7" x14ac:dyDescent="0.35">
      <c r="G243" s="2" t="str">
        <f>IFERROR(VLOOKUP(B243, SOE!F:G, 2, FALSE), "No probado")</f>
        <v>No probado</v>
      </c>
    </row>
    <row r="244" spans="7:7" x14ac:dyDescent="0.35">
      <c r="G244" s="2" t="str">
        <f>IFERROR(VLOOKUP(B244, SOE!F:G, 2, FALSE), "No probado")</f>
        <v>No probado</v>
      </c>
    </row>
    <row r="245" spans="7:7" x14ac:dyDescent="0.35">
      <c r="G245" s="2" t="str">
        <f>IFERROR(VLOOKUP(B245, SOE!F:G, 2, FALSE), "No probado")</f>
        <v>No probado</v>
      </c>
    </row>
    <row r="246" spans="7:7" x14ac:dyDescent="0.35">
      <c r="G246" s="2" t="str">
        <f>IFERROR(VLOOKUP(B246, SOE!F:G, 2, FALSE), "No probado")</f>
        <v>No probado</v>
      </c>
    </row>
    <row r="247" spans="7:7" x14ac:dyDescent="0.35">
      <c r="G247" s="2" t="str">
        <f>IFERROR(VLOOKUP(B247, SOE!F:G, 2, FALSE), "No probado")</f>
        <v>No probado</v>
      </c>
    </row>
    <row r="248" spans="7:7" x14ac:dyDescent="0.35">
      <c r="G248" s="2" t="str">
        <f>IFERROR(VLOOKUP(B248, SOE!F:G, 2, FALSE), "No probado")</f>
        <v>No probado</v>
      </c>
    </row>
    <row r="249" spans="7:7" x14ac:dyDescent="0.35">
      <c r="G249" s="2" t="str">
        <f>IFERROR(VLOOKUP(B249, SOE!F:G, 2, FALSE), "No probado")</f>
        <v>No probado</v>
      </c>
    </row>
    <row r="250" spans="7:7" x14ac:dyDescent="0.35">
      <c r="G250" s="2" t="str">
        <f>IFERROR(VLOOKUP(B250, SOE!F:G, 2, FALSE), "No probado")</f>
        <v>No probado</v>
      </c>
    </row>
    <row r="251" spans="7:7" x14ac:dyDescent="0.35">
      <c r="G251" s="2" t="str">
        <f>IFERROR(VLOOKUP(B251, SOE!F:G, 2, FALSE), "No probado")</f>
        <v>No probado</v>
      </c>
    </row>
    <row r="252" spans="7:7" x14ac:dyDescent="0.35">
      <c r="G252" s="2" t="str">
        <f>IFERROR(VLOOKUP(B252, SOE!F:G, 2, FALSE), "No probado")</f>
        <v>No probado</v>
      </c>
    </row>
    <row r="253" spans="7:7" x14ac:dyDescent="0.35">
      <c r="G253" s="2" t="str">
        <f>IFERROR(VLOOKUP(B253, SOE!F:G, 2, FALSE), "No probado")</f>
        <v>No probado</v>
      </c>
    </row>
    <row r="254" spans="7:7" x14ac:dyDescent="0.35">
      <c r="G254" s="2" t="str">
        <f>IFERROR(VLOOKUP(B254, SOE!F:G, 2, FALSE), "No probado")</f>
        <v>No probado</v>
      </c>
    </row>
    <row r="255" spans="7:7" x14ac:dyDescent="0.35">
      <c r="G255" s="2" t="str">
        <f>IFERROR(VLOOKUP(B255, SOE!F:G, 2, FALSE), "No probado")</f>
        <v>No probado</v>
      </c>
    </row>
    <row r="256" spans="7:7" x14ac:dyDescent="0.35">
      <c r="G256" s="2" t="str">
        <f>IFERROR(VLOOKUP(B256, SOE!F:G, 2, FALSE), "No probado")</f>
        <v>No probado</v>
      </c>
    </row>
    <row r="257" spans="7:7" x14ac:dyDescent="0.35">
      <c r="G257" s="2" t="str">
        <f>IFERROR(VLOOKUP(B257, SOE!F:G, 2, FALSE), "No probado")</f>
        <v>No probado</v>
      </c>
    </row>
    <row r="258" spans="7:7" x14ac:dyDescent="0.35">
      <c r="G258" s="2" t="str">
        <f>IFERROR(VLOOKUP(B258, SOE!F:G, 2, FALSE), "No probado")</f>
        <v>No probado</v>
      </c>
    </row>
    <row r="259" spans="7:7" x14ac:dyDescent="0.35">
      <c r="G259" s="2" t="str">
        <f>IFERROR(VLOOKUP(B259, SOE!F:G, 2, FALSE), "No probado")</f>
        <v>No probado</v>
      </c>
    </row>
    <row r="260" spans="7:7" x14ac:dyDescent="0.35">
      <c r="G260" s="2" t="str">
        <f>IFERROR(VLOOKUP(B260, SOE!F:G, 2, FALSE), "No probado")</f>
        <v>No probado</v>
      </c>
    </row>
    <row r="261" spans="7:7" x14ac:dyDescent="0.35">
      <c r="G261" s="2" t="str">
        <f>IFERROR(VLOOKUP(B261, SOE!F:G, 2, FALSE), "No probado")</f>
        <v>No probado</v>
      </c>
    </row>
    <row r="262" spans="7:7" x14ac:dyDescent="0.35">
      <c r="G262" s="2" t="str">
        <f>IFERROR(VLOOKUP(B262, SOE!F:G, 2, FALSE), "No probado")</f>
        <v>No probado</v>
      </c>
    </row>
    <row r="263" spans="7:7" x14ac:dyDescent="0.35">
      <c r="G263" s="2" t="str">
        <f>IFERROR(VLOOKUP(B263, SOE!F:G, 2, FALSE), "No probado")</f>
        <v>No probado</v>
      </c>
    </row>
    <row r="264" spans="7:7" x14ac:dyDescent="0.35">
      <c r="G264" s="2" t="str">
        <f>IFERROR(VLOOKUP(B264, SOE!F:G, 2, FALSE), "No probado")</f>
        <v>No probado</v>
      </c>
    </row>
    <row r="265" spans="7:7" x14ac:dyDescent="0.35">
      <c r="G265" s="2" t="str">
        <f>IFERROR(VLOOKUP(B265, SOE!F:G, 2, FALSE), "No probado")</f>
        <v>No probado</v>
      </c>
    </row>
    <row r="266" spans="7:7" x14ac:dyDescent="0.35">
      <c r="G266" s="2" t="str">
        <f>IFERROR(VLOOKUP(B266, SOE!F:G, 2, FALSE), "No probado")</f>
        <v>No probado</v>
      </c>
    </row>
    <row r="267" spans="7:7" x14ac:dyDescent="0.35">
      <c r="G267" s="2" t="str">
        <f>IFERROR(VLOOKUP(B267, SOE!F:G, 2, FALSE), "No probado")</f>
        <v>No probado</v>
      </c>
    </row>
    <row r="268" spans="7:7" x14ac:dyDescent="0.35">
      <c r="G268" s="2" t="str">
        <f>IFERROR(VLOOKUP(B268, SOE!F:G, 2, FALSE), "No probado")</f>
        <v>No probado</v>
      </c>
    </row>
    <row r="269" spans="7:7" x14ac:dyDescent="0.35">
      <c r="G269" s="2" t="str">
        <f>IFERROR(VLOOKUP(B269, SOE!F:G, 2, FALSE), "No probado")</f>
        <v>No probado</v>
      </c>
    </row>
    <row r="270" spans="7:7" x14ac:dyDescent="0.35">
      <c r="G270" s="2" t="str">
        <f>IFERROR(VLOOKUP(B270, SOE!F:G, 2, FALSE), "No probado")</f>
        <v>No probado</v>
      </c>
    </row>
    <row r="271" spans="7:7" x14ac:dyDescent="0.35">
      <c r="G271" s="2" t="str">
        <f>IFERROR(VLOOKUP(B271, SOE!F:G, 2, FALSE), "No probado")</f>
        <v>No probado</v>
      </c>
    </row>
    <row r="272" spans="7:7" x14ac:dyDescent="0.35">
      <c r="G272" s="2" t="str">
        <f>IFERROR(VLOOKUP(B272, SOE!F:G, 2, FALSE), "No probado")</f>
        <v>No probado</v>
      </c>
    </row>
    <row r="273" spans="7:7" x14ac:dyDescent="0.35">
      <c r="G273" s="2" t="str">
        <f>IFERROR(VLOOKUP(B273, SOE!F:G, 2, FALSE), "No probado")</f>
        <v>No probado</v>
      </c>
    </row>
    <row r="274" spans="7:7" x14ac:dyDescent="0.35">
      <c r="G274" s="2" t="str">
        <f>IFERROR(VLOOKUP(B274, SOE!F:G, 2, FALSE), "No probado")</f>
        <v>No probado</v>
      </c>
    </row>
    <row r="275" spans="7:7" x14ac:dyDescent="0.35">
      <c r="G275" s="2" t="str">
        <f>IFERROR(VLOOKUP(B275, SOE!F:G, 2, FALSE), "No probado")</f>
        <v>No probado</v>
      </c>
    </row>
    <row r="276" spans="7:7" x14ac:dyDescent="0.35">
      <c r="G276" s="2" t="str">
        <f>IFERROR(VLOOKUP(B276, SOE!F:G, 2, FALSE), "No probado")</f>
        <v>No probado</v>
      </c>
    </row>
    <row r="277" spans="7:7" x14ac:dyDescent="0.35">
      <c r="G277" s="2" t="str">
        <f>IFERROR(VLOOKUP(B277, SOE!F:G, 2, FALSE), "No probado")</f>
        <v>No probado</v>
      </c>
    </row>
    <row r="278" spans="7:7" x14ac:dyDescent="0.35">
      <c r="G278" s="2" t="str">
        <f>IFERROR(VLOOKUP(B278, SOE!F:G, 2, FALSE), "No probado")</f>
        <v>No probado</v>
      </c>
    </row>
    <row r="279" spans="7:7" x14ac:dyDescent="0.35">
      <c r="G279" s="2" t="str">
        <f>IFERROR(VLOOKUP(B279, SOE!F:G, 2, FALSE), "No probado")</f>
        <v>No probado</v>
      </c>
    </row>
    <row r="280" spans="7:7" x14ac:dyDescent="0.35">
      <c r="G280" s="2" t="str">
        <f>IFERROR(VLOOKUP(B280, SOE!F:G, 2, FALSE), "No probado")</f>
        <v>No probado</v>
      </c>
    </row>
    <row r="281" spans="7:7" x14ac:dyDescent="0.35">
      <c r="G281" s="2" t="str">
        <f>IFERROR(VLOOKUP(B281, SOE!F:G, 2, FALSE), "No probado")</f>
        <v>No probado</v>
      </c>
    </row>
    <row r="282" spans="7:7" x14ac:dyDescent="0.35">
      <c r="G282" s="2" t="str">
        <f>IFERROR(VLOOKUP(B282, SOE!F:G, 2, FALSE), "No probado")</f>
        <v>No probado</v>
      </c>
    </row>
    <row r="283" spans="7:7" x14ac:dyDescent="0.35">
      <c r="G283" s="2" t="str">
        <f>IFERROR(VLOOKUP(B283, SOE!F:G, 2, FALSE), "No probado")</f>
        <v>No probado</v>
      </c>
    </row>
    <row r="284" spans="7:7" x14ac:dyDescent="0.35">
      <c r="G284" s="2" t="str">
        <f>IFERROR(VLOOKUP(B284, SOE!F:G, 2, FALSE), "No probado")</f>
        <v>No probado</v>
      </c>
    </row>
    <row r="285" spans="7:7" x14ac:dyDescent="0.35">
      <c r="G285" s="2" t="str">
        <f>IFERROR(VLOOKUP(B285, SOE!F:G, 2, FALSE), "No probado")</f>
        <v>No probado</v>
      </c>
    </row>
    <row r="286" spans="7:7" x14ac:dyDescent="0.35">
      <c r="G286" s="2" t="str">
        <f>IFERROR(VLOOKUP(B286, SOE!F:G, 2, FALSE), "No probado")</f>
        <v>No probado</v>
      </c>
    </row>
    <row r="287" spans="7:7" x14ac:dyDescent="0.35">
      <c r="G287" s="2" t="str">
        <f>IFERROR(VLOOKUP(B287, SOE!F:G, 2, FALSE), "No probado")</f>
        <v>No probado</v>
      </c>
    </row>
    <row r="288" spans="7:7" x14ac:dyDescent="0.35">
      <c r="G288" s="2" t="str">
        <f>IFERROR(VLOOKUP(B288, SOE!F:G, 2, FALSE), "No probado")</f>
        <v>No probado</v>
      </c>
    </row>
    <row r="289" spans="7:7" x14ac:dyDescent="0.35">
      <c r="G289" s="2" t="str">
        <f>IFERROR(VLOOKUP(B289, SOE!F:G, 2, FALSE), "No probado")</f>
        <v>No probado</v>
      </c>
    </row>
    <row r="290" spans="7:7" x14ac:dyDescent="0.35">
      <c r="G290" s="2" t="str">
        <f>IFERROR(VLOOKUP(B290, SOE!F:G, 2, FALSE), "No probado")</f>
        <v>No probado</v>
      </c>
    </row>
    <row r="291" spans="7:7" x14ac:dyDescent="0.35">
      <c r="G291" s="2" t="str">
        <f>IFERROR(VLOOKUP(B291, SOE!F:G, 2, FALSE), "No probado")</f>
        <v>No probado</v>
      </c>
    </row>
    <row r="292" spans="7:7" x14ac:dyDescent="0.35">
      <c r="G292" s="2" t="str">
        <f>IFERROR(VLOOKUP(B292, SOE!F:G, 2, FALSE), "No probado")</f>
        <v>No probado</v>
      </c>
    </row>
    <row r="293" spans="7:7" x14ac:dyDescent="0.35">
      <c r="G293" s="2" t="str">
        <f>IFERROR(VLOOKUP(B293, SOE!F:G, 2, FALSE), "No probado")</f>
        <v>No probado</v>
      </c>
    </row>
    <row r="294" spans="7:7" x14ac:dyDescent="0.35">
      <c r="G294" s="2" t="str">
        <f>IFERROR(VLOOKUP(B294, SOE!F:G, 2, FALSE), "No probado")</f>
        <v>No probado</v>
      </c>
    </row>
    <row r="295" spans="7:7" x14ac:dyDescent="0.35">
      <c r="G295" s="2" t="str">
        <f>IFERROR(VLOOKUP(B295, SOE!F:G, 2, FALSE), "No probado")</f>
        <v>No probado</v>
      </c>
    </row>
    <row r="296" spans="7:7" x14ac:dyDescent="0.35">
      <c r="G296" s="2" t="str">
        <f>IFERROR(VLOOKUP(B296, SOE!F:G, 2, FALSE), "No probado")</f>
        <v>No probado</v>
      </c>
    </row>
    <row r="297" spans="7:7" x14ac:dyDescent="0.35">
      <c r="G297" s="2" t="str">
        <f>IFERROR(VLOOKUP(B297, SOE!F:G, 2, FALSE), "No probado")</f>
        <v>No probado</v>
      </c>
    </row>
    <row r="298" spans="7:7" x14ac:dyDescent="0.35">
      <c r="G298" s="2" t="str">
        <f>IFERROR(VLOOKUP(B298, SOE!F:G, 2, FALSE), "No probado")</f>
        <v>No probado</v>
      </c>
    </row>
    <row r="299" spans="7:7" x14ac:dyDescent="0.35">
      <c r="G299" s="2" t="str">
        <f>IFERROR(VLOOKUP(B299, SOE!F:G, 2, FALSE), "No probado")</f>
        <v>No probado</v>
      </c>
    </row>
    <row r="300" spans="7:7" x14ac:dyDescent="0.35">
      <c r="G300" s="2" t="str">
        <f>IFERROR(VLOOKUP(B300, SOE!F:G, 2, FALSE), "No probado")</f>
        <v>No probado</v>
      </c>
    </row>
    <row r="301" spans="7:7" x14ac:dyDescent="0.35">
      <c r="G301" s="2" t="str">
        <f>IFERROR(VLOOKUP(B301, SOE!F:G, 2, FALSE), "No probado")</f>
        <v>No probado</v>
      </c>
    </row>
    <row r="302" spans="7:7" x14ac:dyDescent="0.35">
      <c r="G302" s="2" t="str">
        <f>IFERROR(VLOOKUP(B302, SOE!F:G, 2, FALSE), "No probado")</f>
        <v>No probado</v>
      </c>
    </row>
    <row r="303" spans="7:7" x14ac:dyDescent="0.35">
      <c r="G303" s="2" t="str">
        <f>IFERROR(VLOOKUP(B303, SOE!F:G, 2, FALSE), "No probado")</f>
        <v>No probado</v>
      </c>
    </row>
    <row r="304" spans="7:7" x14ac:dyDescent="0.35">
      <c r="G304" s="2" t="str">
        <f>IFERROR(VLOOKUP(B304, SOE!F:G, 2, FALSE), "No probado")</f>
        <v>No probado</v>
      </c>
    </row>
    <row r="305" spans="7:7" x14ac:dyDescent="0.35">
      <c r="G305" s="2" t="str">
        <f>IFERROR(VLOOKUP(B305, SOE!F:G, 2, FALSE), "No probado")</f>
        <v>No probado</v>
      </c>
    </row>
    <row r="306" spans="7:7" x14ac:dyDescent="0.35">
      <c r="G306" s="2" t="str">
        <f>IFERROR(VLOOKUP(B306, SOE!F:G, 2, FALSE), "No probado")</f>
        <v>No probado</v>
      </c>
    </row>
    <row r="307" spans="7:7" x14ac:dyDescent="0.35">
      <c r="G307" s="2" t="str">
        <f>IFERROR(VLOOKUP(B307, SOE!F:G, 2, FALSE), "No probado")</f>
        <v>No probado</v>
      </c>
    </row>
    <row r="308" spans="7:7" x14ac:dyDescent="0.35">
      <c r="G308" s="2" t="str">
        <f>IFERROR(VLOOKUP(B308, SOE!F:G, 2, FALSE), "No probado")</f>
        <v>No probado</v>
      </c>
    </row>
    <row r="309" spans="7:7" x14ac:dyDescent="0.35">
      <c r="G309" s="2" t="str">
        <f>IFERROR(VLOOKUP(B309, SOE!F:G, 2, FALSE), "No probado")</f>
        <v>No probado</v>
      </c>
    </row>
    <row r="310" spans="7:7" x14ac:dyDescent="0.35">
      <c r="G310" s="2" t="str">
        <f>IFERROR(VLOOKUP(B310, SOE!F:G, 2, FALSE), "No probado")</f>
        <v>No probado</v>
      </c>
    </row>
    <row r="311" spans="7:7" x14ac:dyDescent="0.35">
      <c r="G311" s="2" t="str">
        <f>IFERROR(VLOOKUP(B311, SOE!F:G, 2, FALSE), "No probado")</f>
        <v>No probado</v>
      </c>
    </row>
    <row r="312" spans="7:7" x14ac:dyDescent="0.35">
      <c r="G312" s="2" t="str">
        <f>IFERROR(VLOOKUP(B312, SOE!F:G, 2, FALSE), "No probado")</f>
        <v>No probado</v>
      </c>
    </row>
    <row r="313" spans="7:7" x14ac:dyDescent="0.35">
      <c r="G313" s="2" t="str">
        <f>IFERROR(VLOOKUP(B313, SOE!F:G, 2, FALSE), "No probado")</f>
        <v>No probado</v>
      </c>
    </row>
    <row r="314" spans="7:7" x14ac:dyDescent="0.35">
      <c r="G314" s="2" t="str">
        <f>IFERROR(VLOOKUP(B314, SOE!F:G, 2, FALSE), "No probado")</f>
        <v>No probado</v>
      </c>
    </row>
    <row r="315" spans="7:7" x14ac:dyDescent="0.35">
      <c r="G315" s="2" t="str">
        <f>IFERROR(VLOOKUP(B315, SOE!F:G, 2, FALSE), "No probado")</f>
        <v>No probado</v>
      </c>
    </row>
    <row r="316" spans="7:7" x14ac:dyDescent="0.35">
      <c r="G316" s="2" t="str">
        <f>IFERROR(VLOOKUP(B316, SOE!F:G, 2, FALSE), "No probado")</f>
        <v>No probado</v>
      </c>
    </row>
    <row r="317" spans="7:7" x14ac:dyDescent="0.35">
      <c r="G317" s="2" t="str">
        <f>IFERROR(VLOOKUP(B317, SOE!F:G, 2, FALSE), "No probado")</f>
        <v>No probado</v>
      </c>
    </row>
    <row r="318" spans="7:7" x14ac:dyDescent="0.35">
      <c r="G318" s="2" t="str">
        <f>IFERROR(VLOOKUP(B318, SOE!F:G, 2, FALSE), "No probado")</f>
        <v>No probado</v>
      </c>
    </row>
    <row r="319" spans="7:7" x14ac:dyDescent="0.35">
      <c r="G319" s="2" t="str">
        <f>IFERROR(VLOOKUP(B319, SOE!F:G, 2, FALSE), "No probado")</f>
        <v>No probado</v>
      </c>
    </row>
    <row r="320" spans="7:7" x14ac:dyDescent="0.35">
      <c r="G320" s="2" t="str">
        <f>IFERROR(VLOOKUP(B320, SOE!F:G, 2, FALSE), "No probado")</f>
        <v>No probado</v>
      </c>
    </row>
    <row r="321" spans="7:7" x14ac:dyDescent="0.35">
      <c r="G321" s="2" t="str">
        <f>IFERROR(VLOOKUP(B321, SOE!F:G, 2, FALSE), "No probado")</f>
        <v>No probado</v>
      </c>
    </row>
    <row r="322" spans="7:7" x14ac:dyDescent="0.35">
      <c r="G322" s="2" t="str">
        <f>IFERROR(VLOOKUP(B322, SOE!F:G, 2, FALSE), "No probado")</f>
        <v>No probado</v>
      </c>
    </row>
    <row r="323" spans="7:7" x14ac:dyDescent="0.35">
      <c r="G323" s="2" t="str">
        <f>IFERROR(VLOOKUP(B323, SOE!F:G, 2, FALSE), "No probado")</f>
        <v>No probado</v>
      </c>
    </row>
    <row r="324" spans="7:7" x14ac:dyDescent="0.35">
      <c r="G324" s="2" t="str">
        <f>IFERROR(VLOOKUP(B324, SOE!F:G, 2, FALSE), "No probado")</f>
        <v>No probado</v>
      </c>
    </row>
    <row r="325" spans="7:7" x14ac:dyDescent="0.35">
      <c r="G325" s="2" t="str">
        <f>IFERROR(VLOOKUP(B325, SOE!F:G, 2, FALSE), "No probado")</f>
        <v>No probado</v>
      </c>
    </row>
    <row r="326" spans="7:7" x14ac:dyDescent="0.35">
      <c r="G326" s="2" t="str">
        <f>IFERROR(VLOOKUP(B326, SOE!F:G, 2, FALSE), "No probado")</f>
        <v>No probado</v>
      </c>
    </row>
    <row r="327" spans="7:7" x14ac:dyDescent="0.35">
      <c r="G327" s="2" t="str">
        <f>IFERROR(VLOOKUP(B327, SOE!F:G, 2, FALSE), "No probado")</f>
        <v>No probado</v>
      </c>
    </row>
    <row r="328" spans="7:7" x14ac:dyDescent="0.35">
      <c r="G328" s="2" t="str">
        <f>IFERROR(VLOOKUP(B328, SOE!F:G, 2, FALSE), "No probado")</f>
        <v>No probado</v>
      </c>
    </row>
    <row r="329" spans="7:7" x14ac:dyDescent="0.35">
      <c r="G329" s="2" t="str">
        <f>IFERROR(VLOOKUP(B329, SOE!F:G, 2, FALSE), "No probado")</f>
        <v>No probado</v>
      </c>
    </row>
    <row r="330" spans="7:7" x14ac:dyDescent="0.35">
      <c r="G330" s="2" t="str">
        <f>IFERROR(VLOOKUP(B330, SOE!F:G, 2, FALSE), "No probado")</f>
        <v>No probado</v>
      </c>
    </row>
    <row r="331" spans="7:7" x14ac:dyDescent="0.35">
      <c r="G331" s="2" t="str">
        <f>IFERROR(VLOOKUP(B331, SOE!F:G, 2, FALSE), "No probado")</f>
        <v>No probado</v>
      </c>
    </row>
    <row r="332" spans="7:7" x14ac:dyDescent="0.35">
      <c r="G332" s="2" t="str">
        <f>IFERROR(VLOOKUP(B332, SOE!F:G, 2, FALSE), "No probado")</f>
        <v>No probado</v>
      </c>
    </row>
    <row r="333" spans="7:7" x14ac:dyDescent="0.35">
      <c r="G333" s="2" t="str">
        <f>IFERROR(VLOOKUP(B333, SOE!F:G, 2, FALSE), "No probado")</f>
        <v>No probado</v>
      </c>
    </row>
    <row r="334" spans="7:7" x14ac:dyDescent="0.35">
      <c r="G334" s="2" t="str">
        <f>IFERROR(VLOOKUP(B334, SOE!F:G, 2, FALSE), "No probado")</f>
        <v>No probado</v>
      </c>
    </row>
    <row r="335" spans="7:7" x14ac:dyDescent="0.35">
      <c r="G335" s="2" t="str">
        <f>IFERROR(VLOOKUP(B335, SOE!F:G, 2, FALSE), "No probado")</f>
        <v>No probado</v>
      </c>
    </row>
    <row r="336" spans="7:7" x14ac:dyDescent="0.35">
      <c r="G336" s="2" t="str">
        <f>IFERROR(VLOOKUP(B336, SOE!F:G, 2, FALSE), "No probado")</f>
        <v>No probado</v>
      </c>
    </row>
    <row r="337" spans="7:7" x14ac:dyDescent="0.35">
      <c r="G337" s="2" t="str">
        <f>IFERROR(VLOOKUP(B337, SOE!F:G, 2, FALSE), "No probado")</f>
        <v>No probado</v>
      </c>
    </row>
    <row r="338" spans="7:7" x14ac:dyDescent="0.35">
      <c r="G338" s="2" t="str">
        <f>IFERROR(VLOOKUP(B338, SOE!F:G, 2, FALSE), "No probado")</f>
        <v>No probado</v>
      </c>
    </row>
    <row r="339" spans="7:7" x14ac:dyDescent="0.35">
      <c r="G339" s="2" t="str">
        <f>IFERROR(VLOOKUP(B339, SOE!F:G, 2, FALSE), "No probado")</f>
        <v>No probado</v>
      </c>
    </row>
    <row r="340" spans="7:7" x14ac:dyDescent="0.35">
      <c r="G340" s="2" t="str">
        <f>IFERROR(VLOOKUP(B340, SOE!F:G, 2, FALSE), "No probado")</f>
        <v>No probado</v>
      </c>
    </row>
    <row r="341" spans="7:7" x14ac:dyDescent="0.35">
      <c r="G341" s="2" t="str">
        <f>IFERROR(VLOOKUP(B341, SOE!F:G, 2, FALSE), "No probado")</f>
        <v>No probado</v>
      </c>
    </row>
    <row r="342" spans="7:7" x14ac:dyDescent="0.35">
      <c r="G342" s="2" t="str">
        <f>IFERROR(VLOOKUP(B342, SOE!F:G, 2, FALSE), "No probado")</f>
        <v>No probado</v>
      </c>
    </row>
    <row r="343" spans="7:7" x14ac:dyDescent="0.35">
      <c r="G343" s="2" t="str">
        <f>IFERROR(VLOOKUP(B343, SOE!F:G, 2, FALSE), "No probado")</f>
        <v>No probado</v>
      </c>
    </row>
    <row r="344" spans="7:7" x14ac:dyDescent="0.35">
      <c r="G344" s="2" t="str">
        <f>IFERROR(VLOOKUP(B344, SOE!F:G, 2, FALSE), "No probado")</f>
        <v>No probado</v>
      </c>
    </row>
    <row r="345" spans="7:7" x14ac:dyDescent="0.35">
      <c r="G345" s="2" t="str">
        <f>IFERROR(VLOOKUP(B345, SOE!F:G, 2, FALSE), "No probado")</f>
        <v>No probado</v>
      </c>
    </row>
    <row r="346" spans="7:7" x14ac:dyDescent="0.35">
      <c r="G346" s="2" t="str">
        <f>IFERROR(VLOOKUP(B346, SOE!F:G, 2, FALSE), "No probado")</f>
        <v>No probado</v>
      </c>
    </row>
    <row r="347" spans="7:7" x14ac:dyDescent="0.35">
      <c r="G347" s="2" t="str">
        <f>IFERROR(VLOOKUP(B347, SOE!F:G, 2, FALSE), "No probado")</f>
        <v>No probado</v>
      </c>
    </row>
    <row r="348" spans="7:7" x14ac:dyDescent="0.35">
      <c r="G348" s="2" t="str">
        <f>IFERROR(VLOOKUP(B348, SOE!F:G, 2, FALSE), "No probado")</f>
        <v>No probado</v>
      </c>
    </row>
    <row r="349" spans="7:7" x14ac:dyDescent="0.35">
      <c r="G349" s="2" t="str">
        <f>IFERROR(VLOOKUP(B349, SOE!F:G, 2, FALSE), "No probado")</f>
        <v>No probado</v>
      </c>
    </row>
    <row r="350" spans="7:7" x14ac:dyDescent="0.35">
      <c r="G350" s="2" t="str">
        <f>IFERROR(VLOOKUP(B350, SOE!F:G, 2, FALSE), "No probado")</f>
        <v>No probado</v>
      </c>
    </row>
    <row r="351" spans="7:7" x14ac:dyDescent="0.35">
      <c r="G351" s="2" t="str">
        <f>IFERROR(VLOOKUP(B351, SOE!F:G, 2, FALSE), "No probado")</f>
        <v>No probado</v>
      </c>
    </row>
    <row r="352" spans="7:7" x14ac:dyDescent="0.35">
      <c r="G352" s="2" t="str">
        <f>IFERROR(VLOOKUP(B352, SOE!F:G, 2, FALSE), "No probado")</f>
        <v>No probado</v>
      </c>
    </row>
    <row r="353" spans="7:7" x14ac:dyDescent="0.35">
      <c r="G353" s="2" t="str">
        <f>IFERROR(VLOOKUP(B353, SOE!F:G, 2, FALSE), "No probado")</f>
        <v>No probado</v>
      </c>
    </row>
    <row r="354" spans="7:7" x14ac:dyDescent="0.35">
      <c r="G354" s="2" t="str">
        <f>IFERROR(VLOOKUP(B354, SOE!F:G, 2, FALSE), "No probado")</f>
        <v>No probado</v>
      </c>
    </row>
    <row r="355" spans="7:7" x14ac:dyDescent="0.35">
      <c r="G355" s="2" t="str">
        <f>IFERROR(VLOOKUP(B355, SOE!F:G, 2, FALSE), "No probado")</f>
        <v>No probado</v>
      </c>
    </row>
    <row r="356" spans="7:7" x14ac:dyDescent="0.35">
      <c r="G356" s="2" t="str">
        <f>IFERROR(VLOOKUP(B356, SOE!F:G, 2, FALSE), "No probado")</f>
        <v>No probado</v>
      </c>
    </row>
    <row r="357" spans="7:7" x14ac:dyDescent="0.35">
      <c r="G357" s="2" t="str">
        <f>IFERROR(VLOOKUP(B357, SOE!F:G, 2, FALSE), "No probado")</f>
        <v>No probado</v>
      </c>
    </row>
    <row r="358" spans="7:7" x14ac:dyDescent="0.35">
      <c r="G358" s="2" t="str">
        <f>IFERROR(VLOOKUP(B358, SOE!F:G, 2, FALSE), "No probado")</f>
        <v>No probado</v>
      </c>
    </row>
    <row r="359" spans="7:7" x14ac:dyDescent="0.35">
      <c r="G359" s="2" t="str">
        <f>IFERROR(VLOOKUP(B359, SOE!F:G, 2, FALSE), "No probado")</f>
        <v>No probado</v>
      </c>
    </row>
    <row r="360" spans="7:7" x14ac:dyDescent="0.35">
      <c r="G360" s="2" t="str">
        <f>IFERROR(VLOOKUP(B360, SOE!F:G, 2, FALSE), "No probado")</f>
        <v>No probado</v>
      </c>
    </row>
    <row r="361" spans="7:7" x14ac:dyDescent="0.35">
      <c r="G361" s="2" t="str">
        <f>IFERROR(VLOOKUP(B361, SOE!F:G, 2, FALSE), "No probado")</f>
        <v>No probado</v>
      </c>
    </row>
    <row r="362" spans="7:7" x14ac:dyDescent="0.35">
      <c r="G362" s="2" t="str">
        <f>IFERROR(VLOOKUP(B362, SOE!F:G, 2, FALSE), "No probado")</f>
        <v>No probado</v>
      </c>
    </row>
    <row r="363" spans="7:7" x14ac:dyDescent="0.35">
      <c r="G363" s="2" t="str">
        <f>IFERROR(VLOOKUP(B363, SOE!F:G, 2, FALSE), "No probado")</f>
        <v>No probado</v>
      </c>
    </row>
    <row r="364" spans="7:7" x14ac:dyDescent="0.35">
      <c r="G364" s="2" t="str">
        <f>IFERROR(VLOOKUP(B364, SOE!F:G, 2, FALSE), "No probado")</f>
        <v>No probado</v>
      </c>
    </row>
    <row r="365" spans="7:7" x14ac:dyDescent="0.35">
      <c r="G365" s="2" t="str">
        <f>IFERROR(VLOOKUP(B365, SOE!F:G, 2, FALSE), "No probado")</f>
        <v>No probado</v>
      </c>
    </row>
    <row r="366" spans="7:7" x14ac:dyDescent="0.35">
      <c r="G366" s="2" t="str">
        <f>IFERROR(VLOOKUP(B366, SOE!F:G, 2, FALSE), "No probado")</f>
        <v>No probado</v>
      </c>
    </row>
    <row r="367" spans="7:7" x14ac:dyDescent="0.35">
      <c r="G367" s="2" t="str">
        <f>IFERROR(VLOOKUP(B367, SOE!F:G, 2, FALSE), "No probado")</f>
        <v>No probado</v>
      </c>
    </row>
    <row r="368" spans="7:7" x14ac:dyDescent="0.35">
      <c r="G368" s="2" t="str">
        <f>IFERROR(VLOOKUP(B368, SOE!F:G, 2, FALSE), "No probado")</f>
        <v>No probado</v>
      </c>
    </row>
    <row r="369" spans="7:7" x14ac:dyDescent="0.35">
      <c r="G369" s="2" t="str">
        <f>IFERROR(VLOOKUP(B369, SOE!F:G, 2, FALSE), "No probado")</f>
        <v>No probado</v>
      </c>
    </row>
    <row r="370" spans="7:7" x14ac:dyDescent="0.35">
      <c r="G370" s="2" t="str">
        <f>IFERROR(VLOOKUP(B370, SOE!F:G, 2, FALSE), "No probado")</f>
        <v>No probado</v>
      </c>
    </row>
    <row r="371" spans="7:7" x14ac:dyDescent="0.35">
      <c r="G371" s="2" t="str">
        <f>IFERROR(VLOOKUP(B371, SOE!F:G, 2, FALSE), "No probado")</f>
        <v>No probado</v>
      </c>
    </row>
    <row r="372" spans="7:7" x14ac:dyDescent="0.35">
      <c r="G372" s="2" t="str">
        <f>IFERROR(VLOOKUP(B372, SOE!F:G, 2, FALSE), "No probado")</f>
        <v>No probado</v>
      </c>
    </row>
    <row r="373" spans="7:7" x14ac:dyDescent="0.35">
      <c r="G373" s="2" t="str">
        <f>IFERROR(VLOOKUP(B373, SOE!F:G, 2, FALSE), "No probado")</f>
        <v>No probado</v>
      </c>
    </row>
    <row r="374" spans="7:7" x14ac:dyDescent="0.35">
      <c r="G374" s="2" t="str">
        <f>IFERROR(VLOOKUP(B374, SOE!F:G, 2, FALSE), "No probado")</f>
        <v>No probado</v>
      </c>
    </row>
    <row r="375" spans="7:7" x14ac:dyDescent="0.35">
      <c r="G375" s="2" t="str">
        <f>IFERROR(VLOOKUP(B375, SOE!F:G, 2, FALSE), "No probado")</f>
        <v>No probado</v>
      </c>
    </row>
    <row r="376" spans="7:7" x14ac:dyDescent="0.35">
      <c r="G376" s="2" t="str">
        <f>IFERROR(VLOOKUP(B376, SOE!F:G, 2, FALSE), "No probado")</f>
        <v>No probado</v>
      </c>
    </row>
    <row r="377" spans="7:7" x14ac:dyDescent="0.35">
      <c r="G377" s="2" t="str">
        <f>IFERROR(VLOOKUP(B377, SOE!F:G, 2, FALSE), "No probado")</f>
        <v>No probado</v>
      </c>
    </row>
    <row r="378" spans="7:7" x14ac:dyDescent="0.35">
      <c r="G378" s="2" t="str">
        <f>IFERROR(VLOOKUP(B378, SOE!F:G, 2, FALSE), "No probado")</f>
        <v>No probado</v>
      </c>
    </row>
    <row r="379" spans="7:7" x14ac:dyDescent="0.35">
      <c r="G379" s="2" t="str">
        <f>IFERROR(VLOOKUP(B379, SOE!F:G, 2, FALSE), "No probado")</f>
        <v>No probado</v>
      </c>
    </row>
    <row r="380" spans="7:7" x14ac:dyDescent="0.35">
      <c r="G380" s="2" t="str">
        <f>IFERROR(VLOOKUP(B380, SOE!F:G, 2, FALSE), "No probado")</f>
        <v>No probado</v>
      </c>
    </row>
    <row r="381" spans="7:7" x14ac:dyDescent="0.35">
      <c r="G381" s="2" t="str">
        <f>IFERROR(VLOOKUP(B381, SOE!F:G, 2, FALSE), "No probado")</f>
        <v>No probado</v>
      </c>
    </row>
    <row r="382" spans="7:7" x14ac:dyDescent="0.35">
      <c r="G382" s="2" t="str">
        <f>IFERROR(VLOOKUP(B382, SOE!F:G, 2, FALSE), "No probado")</f>
        <v>No probado</v>
      </c>
    </row>
    <row r="383" spans="7:7" x14ac:dyDescent="0.35">
      <c r="G383" s="2" t="str">
        <f>IFERROR(VLOOKUP(B383, SOE!F:G, 2, FALSE), "No probado")</f>
        <v>No probado</v>
      </c>
    </row>
    <row r="384" spans="7:7" x14ac:dyDescent="0.35">
      <c r="G384" s="2" t="str">
        <f>IFERROR(VLOOKUP(B384, SOE!F:G, 2, FALSE), "No probado")</f>
        <v>No probado</v>
      </c>
    </row>
    <row r="385" spans="7:7" x14ac:dyDescent="0.35">
      <c r="G385" s="2" t="str">
        <f>IFERROR(VLOOKUP(B385, SOE!F:G, 2, FALSE), "No probado")</f>
        <v>No probado</v>
      </c>
    </row>
    <row r="386" spans="7:7" x14ac:dyDescent="0.35">
      <c r="G386" s="2" t="str">
        <f>IFERROR(VLOOKUP(B386, SOE!F:G, 2, FALSE), "No probado")</f>
        <v>No probado</v>
      </c>
    </row>
    <row r="387" spans="7:7" x14ac:dyDescent="0.35">
      <c r="G387" s="2" t="str">
        <f>IFERROR(VLOOKUP(B387, SOE!F:G, 2, FALSE), "No probado")</f>
        <v>No probado</v>
      </c>
    </row>
    <row r="388" spans="7:7" x14ac:dyDescent="0.35">
      <c r="G388" s="2" t="str">
        <f>IFERROR(VLOOKUP(B388, SOE!F:G, 2, FALSE), "No probado")</f>
        <v>No probado</v>
      </c>
    </row>
    <row r="389" spans="7:7" x14ac:dyDescent="0.35">
      <c r="G389" s="2" t="str">
        <f>IFERROR(VLOOKUP(B389, SOE!F:G, 2, FALSE), "No probado")</f>
        <v>No probado</v>
      </c>
    </row>
    <row r="390" spans="7:7" x14ac:dyDescent="0.35">
      <c r="G390" s="2" t="str">
        <f>IFERROR(VLOOKUP(B390, SOE!F:G, 2, FALSE), "No probado")</f>
        <v>No probado</v>
      </c>
    </row>
    <row r="391" spans="7:7" x14ac:dyDescent="0.35">
      <c r="G391" s="2" t="str">
        <f>IFERROR(VLOOKUP(B391, SOE!F:G, 2, FALSE), "No probado")</f>
        <v>No probado</v>
      </c>
    </row>
    <row r="392" spans="7:7" x14ac:dyDescent="0.35">
      <c r="G392" s="2" t="str">
        <f>IFERROR(VLOOKUP(B392, SOE!F:G, 2, FALSE), "No probado")</f>
        <v>No probado</v>
      </c>
    </row>
    <row r="393" spans="7:7" x14ac:dyDescent="0.35">
      <c r="G393" s="2" t="str">
        <f>IFERROR(VLOOKUP(B393, SOE!F:G, 2, FALSE), "No probado")</f>
        <v>No probado</v>
      </c>
    </row>
    <row r="394" spans="7:7" x14ac:dyDescent="0.35">
      <c r="G394" s="2" t="str">
        <f>IFERROR(VLOOKUP(B394, SOE!F:G, 2, FALSE), "No probado")</f>
        <v>No probado</v>
      </c>
    </row>
    <row r="395" spans="7:7" x14ac:dyDescent="0.35">
      <c r="G395" s="2" t="str">
        <f>IFERROR(VLOOKUP(B395, SOE!F:G, 2, FALSE), "No probado")</f>
        <v>No probado</v>
      </c>
    </row>
    <row r="396" spans="7:7" x14ac:dyDescent="0.35">
      <c r="G396" s="2" t="str">
        <f>IFERROR(VLOOKUP(B396, SOE!F:G, 2, FALSE), "No probado")</f>
        <v>No probado</v>
      </c>
    </row>
    <row r="397" spans="7:7" x14ac:dyDescent="0.35">
      <c r="G397" s="2" t="str">
        <f>IFERROR(VLOOKUP(B397, SOE!F:G, 2, FALSE), "No probado")</f>
        <v>No probado</v>
      </c>
    </row>
    <row r="398" spans="7:7" x14ac:dyDescent="0.35">
      <c r="G398" s="2" t="str">
        <f>IFERROR(VLOOKUP(B398, SOE!F:G, 2, FALSE), "No probado")</f>
        <v>No probado</v>
      </c>
    </row>
    <row r="399" spans="7:7" x14ac:dyDescent="0.35">
      <c r="G399" s="2" t="str">
        <f>IFERROR(VLOOKUP(B399, SOE!F:G, 2, FALSE), "No probado")</f>
        <v>No probado</v>
      </c>
    </row>
    <row r="400" spans="7:7" x14ac:dyDescent="0.35">
      <c r="G400" s="2" t="str">
        <f>IFERROR(VLOOKUP(B400, SOE!F:G, 2, FALSE), "No probado")</f>
        <v>No probado</v>
      </c>
    </row>
    <row r="401" spans="7:7" x14ac:dyDescent="0.35">
      <c r="G401" s="2" t="str">
        <f>IFERROR(VLOOKUP(B401, SOE!F:G, 2, FALSE), "No probado")</f>
        <v>No probado</v>
      </c>
    </row>
    <row r="402" spans="7:7" x14ac:dyDescent="0.35">
      <c r="G402" s="2" t="str">
        <f>IFERROR(VLOOKUP(B402, SOE!F:G, 2, FALSE), "No probado")</f>
        <v>No probado</v>
      </c>
    </row>
    <row r="403" spans="7:7" x14ac:dyDescent="0.35">
      <c r="G403" s="2" t="str">
        <f>IFERROR(VLOOKUP(B403, SOE!F:G, 2, FALSE), "No probado")</f>
        <v>No probado</v>
      </c>
    </row>
    <row r="404" spans="7:7" x14ac:dyDescent="0.35">
      <c r="G404" s="2" t="str">
        <f>IFERROR(VLOOKUP(B404, SOE!F:G, 2, FALSE), "No probado")</f>
        <v>No probado</v>
      </c>
    </row>
    <row r="405" spans="7:7" x14ac:dyDescent="0.35">
      <c r="G405" s="2" t="str">
        <f>IFERROR(VLOOKUP(B405, SOE!F:G, 2, FALSE), "No probado")</f>
        <v>No probado</v>
      </c>
    </row>
    <row r="406" spans="7:7" x14ac:dyDescent="0.35">
      <c r="G406" s="2" t="str">
        <f>IFERROR(VLOOKUP(B406, SOE!F:G, 2, FALSE), "No probado")</f>
        <v>No probado</v>
      </c>
    </row>
    <row r="407" spans="7:7" x14ac:dyDescent="0.35">
      <c r="G407" s="2" t="str">
        <f>IFERROR(VLOOKUP(B407, SOE!F:G, 2, FALSE), "No probado")</f>
        <v>No probado</v>
      </c>
    </row>
    <row r="408" spans="7:7" x14ac:dyDescent="0.35">
      <c r="G408" s="2" t="str">
        <f>IFERROR(VLOOKUP(B408, SOE!F:G, 2, FALSE), "No probado")</f>
        <v>No probado</v>
      </c>
    </row>
    <row r="409" spans="7:7" x14ac:dyDescent="0.35">
      <c r="G409" s="2" t="str">
        <f>IFERROR(VLOOKUP(B409, SOE!F:G, 2, FALSE), "No probado")</f>
        <v>No probado</v>
      </c>
    </row>
    <row r="410" spans="7:7" x14ac:dyDescent="0.35">
      <c r="G410" s="2" t="str">
        <f>IFERROR(VLOOKUP(B410, SOE!F:G, 2, FALSE), "No probado")</f>
        <v>No probado</v>
      </c>
    </row>
    <row r="411" spans="7:7" x14ac:dyDescent="0.35">
      <c r="G411" s="2" t="str">
        <f>IFERROR(VLOOKUP(B411, SOE!F:G, 2, FALSE), "No probado")</f>
        <v>No probado</v>
      </c>
    </row>
    <row r="412" spans="7:7" x14ac:dyDescent="0.35">
      <c r="G412" s="2" t="str">
        <f>IFERROR(VLOOKUP(B412, SOE!F:G, 2, FALSE), "No probado")</f>
        <v>No probado</v>
      </c>
    </row>
    <row r="413" spans="7:7" x14ac:dyDescent="0.35">
      <c r="G413" s="2" t="str">
        <f>IFERROR(VLOOKUP(B413, SOE!F:G, 2, FALSE), "No probado")</f>
        <v>No probado</v>
      </c>
    </row>
    <row r="414" spans="7:7" x14ac:dyDescent="0.35">
      <c r="G414" s="2" t="str">
        <f>IFERROR(VLOOKUP(B414, SOE!F:G, 2, FALSE), "No probado")</f>
        <v>No probado</v>
      </c>
    </row>
    <row r="415" spans="7:7" x14ac:dyDescent="0.35">
      <c r="G415" s="2" t="str">
        <f>IFERROR(VLOOKUP(B415, SOE!F:G, 2, FALSE), "No probado")</f>
        <v>No probado</v>
      </c>
    </row>
    <row r="416" spans="7:7" x14ac:dyDescent="0.35">
      <c r="G416" s="2" t="str">
        <f>IFERROR(VLOOKUP(B416, SOE!F:G, 2, FALSE), "No probado")</f>
        <v>No probado</v>
      </c>
    </row>
    <row r="417" spans="7:7" x14ac:dyDescent="0.35">
      <c r="G417" s="2" t="str">
        <f>IFERROR(VLOOKUP(B417, SOE!F:G, 2, FALSE), "No probado")</f>
        <v>No probado</v>
      </c>
    </row>
    <row r="418" spans="7:7" x14ac:dyDescent="0.35">
      <c r="G418" s="2" t="str">
        <f>IFERROR(VLOOKUP(B418, SOE!F:G, 2, FALSE), "No probado")</f>
        <v>No probado</v>
      </c>
    </row>
    <row r="419" spans="7:7" x14ac:dyDescent="0.35">
      <c r="G419" s="2" t="str">
        <f>IFERROR(VLOOKUP(B419, SOE!F:G, 2, FALSE), "No probado")</f>
        <v>No probado</v>
      </c>
    </row>
    <row r="420" spans="7:7" x14ac:dyDescent="0.35">
      <c r="G420" s="2" t="str">
        <f>IFERROR(VLOOKUP(B420, SOE!F:G, 2, FALSE), "No probado")</f>
        <v>No probado</v>
      </c>
    </row>
    <row r="421" spans="7:7" x14ac:dyDescent="0.35">
      <c r="G421" s="2" t="str">
        <f>IFERROR(VLOOKUP(B421, SOE!F:G, 2, FALSE), "No probado")</f>
        <v>No probado</v>
      </c>
    </row>
    <row r="422" spans="7:7" x14ac:dyDescent="0.35">
      <c r="G422" s="2" t="str">
        <f>IFERROR(VLOOKUP(B422, SOE!F:G, 2, FALSE), "No probado")</f>
        <v>No probado</v>
      </c>
    </row>
    <row r="423" spans="7:7" x14ac:dyDescent="0.35">
      <c r="G423" s="2" t="str">
        <f>IFERROR(VLOOKUP(B423, SOE!F:G, 2, FALSE), "No probado")</f>
        <v>No probado</v>
      </c>
    </row>
    <row r="424" spans="7:7" x14ac:dyDescent="0.35">
      <c r="G424" s="2" t="str">
        <f>IFERROR(VLOOKUP(B424, SOE!F:G, 2, FALSE), "No probado")</f>
        <v>No probado</v>
      </c>
    </row>
    <row r="425" spans="7:7" x14ac:dyDescent="0.35">
      <c r="G425" s="2" t="str">
        <f>IFERROR(VLOOKUP(B425, SOE!F:G, 2, FALSE), "No probado")</f>
        <v>No probado</v>
      </c>
    </row>
    <row r="426" spans="7:7" x14ac:dyDescent="0.35">
      <c r="G426" s="2" t="str">
        <f>IFERROR(VLOOKUP(B426, SOE!F:G, 2, FALSE), "No probado")</f>
        <v>No probado</v>
      </c>
    </row>
    <row r="427" spans="7:7" x14ac:dyDescent="0.35">
      <c r="G427" s="2" t="str">
        <f>IFERROR(VLOOKUP(B427, SOE!F:G, 2, FALSE), "No probado")</f>
        <v>No probado</v>
      </c>
    </row>
    <row r="428" spans="7:7" x14ac:dyDescent="0.35">
      <c r="G428" s="2" t="str">
        <f>IFERROR(VLOOKUP(B428, SOE!F:G, 2, FALSE), "No probado")</f>
        <v>No probado</v>
      </c>
    </row>
    <row r="429" spans="7:7" x14ac:dyDescent="0.35">
      <c r="G429" s="2" t="str">
        <f>IFERROR(VLOOKUP(B429, SOE!F:G, 2, FALSE), "No probado")</f>
        <v>No probado</v>
      </c>
    </row>
    <row r="430" spans="7:7" x14ac:dyDescent="0.35">
      <c r="G430" s="2" t="str">
        <f>IFERROR(VLOOKUP(B430, SOE!F:G, 2, FALSE), "No probado")</f>
        <v>No probado</v>
      </c>
    </row>
    <row r="431" spans="7:7" x14ac:dyDescent="0.35">
      <c r="G431" s="2" t="str">
        <f>IFERROR(VLOOKUP(B431, SOE!F:G, 2, FALSE), "No probado")</f>
        <v>No probado</v>
      </c>
    </row>
    <row r="432" spans="7:7" x14ac:dyDescent="0.35">
      <c r="G432" s="2" t="str">
        <f>IFERROR(VLOOKUP(B432, SOE!F:G, 2, FALSE), "No probado")</f>
        <v>No probado</v>
      </c>
    </row>
    <row r="433" spans="7:7" x14ac:dyDescent="0.35">
      <c r="G433" s="2" t="str">
        <f>IFERROR(VLOOKUP(B433, SOE!F:G, 2, FALSE), "No probado")</f>
        <v>No probado</v>
      </c>
    </row>
    <row r="434" spans="7:7" x14ac:dyDescent="0.35">
      <c r="G434" s="2" t="str">
        <f>IFERROR(VLOOKUP(B434, SOE!F:G, 2, FALSE), "No probado")</f>
        <v>No probado</v>
      </c>
    </row>
    <row r="435" spans="7:7" x14ac:dyDescent="0.35">
      <c r="G435" s="2" t="str">
        <f>IFERROR(VLOOKUP(B435, SOE!F:G, 2, FALSE), "No probado")</f>
        <v>No probado</v>
      </c>
    </row>
    <row r="436" spans="7:7" x14ac:dyDescent="0.35">
      <c r="G436" s="2" t="str">
        <f>IFERROR(VLOOKUP(B436, SOE!F:G, 2, FALSE), "No probado")</f>
        <v>No probado</v>
      </c>
    </row>
    <row r="437" spans="7:7" x14ac:dyDescent="0.35">
      <c r="G437" s="2" t="str">
        <f>IFERROR(VLOOKUP(B437, SOE!F:G, 2, FALSE), "No probado")</f>
        <v>No probado</v>
      </c>
    </row>
    <row r="438" spans="7:7" x14ac:dyDescent="0.35">
      <c r="G438" s="2" t="str">
        <f>IFERROR(VLOOKUP(B438, SOE!F:G, 2, FALSE), "No probado")</f>
        <v>No probado</v>
      </c>
    </row>
    <row r="439" spans="7:7" x14ac:dyDescent="0.35">
      <c r="G439" s="2" t="str">
        <f>IFERROR(VLOOKUP(B439, SOE!F:G, 2, FALSE), "No probado")</f>
        <v>No probado</v>
      </c>
    </row>
    <row r="440" spans="7:7" x14ac:dyDescent="0.35">
      <c r="G440" s="2" t="str">
        <f>IFERROR(VLOOKUP(B440, SOE!F:G, 2, FALSE), "No probado")</f>
        <v>No probado</v>
      </c>
    </row>
    <row r="441" spans="7:7" x14ac:dyDescent="0.35">
      <c r="G441" s="2" t="str">
        <f>IFERROR(VLOOKUP(B441, SOE!F:G, 2, FALSE), "No probado")</f>
        <v>No probado</v>
      </c>
    </row>
    <row r="442" spans="7:7" x14ac:dyDescent="0.35">
      <c r="G442" s="2" t="str">
        <f>IFERROR(VLOOKUP(B442, SOE!F:G, 2, FALSE), "No probado")</f>
        <v>No probado</v>
      </c>
    </row>
    <row r="443" spans="7:7" x14ac:dyDescent="0.35">
      <c r="G443" s="2" t="str">
        <f>IFERROR(VLOOKUP(B443, SOE!F:G, 2, FALSE), "No probado")</f>
        <v>No probado</v>
      </c>
    </row>
    <row r="444" spans="7:7" x14ac:dyDescent="0.35">
      <c r="G444" s="2" t="str">
        <f>IFERROR(VLOOKUP(B444, SOE!F:G, 2, FALSE), "No probado")</f>
        <v>No probado</v>
      </c>
    </row>
    <row r="445" spans="7:7" x14ac:dyDescent="0.35">
      <c r="G445" s="2" t="str">
        <f>IFERROR(VLOOKUP(B445, SOE!F:G, 2, FALSE), "No probado")</f>
        <v>No probado</v>
      </c>
    </row>
    <row r="446" spans="7:7" x14ac:dyDescent="0.35">
      <c r="G446" s="2" t="str">
        <f>IFERROR(VLOOKUP(B446, SOE!F:G, 2, FALSE), "No probado")</f>
        <v>No probado</v>
      </c>
    </row>
    <row r="447" spans="7:7" x14ac:dyDescent="0.35">
      <c r="G447" s="2" t="str">
        <f>IFERROR(VLOOKUP(B447, SOE!F:G, 2, FALSE), "No probado")</f>
        <v>No probado</v>
      </c>
    </row>
    <row r="448" spans="7:7" x14ac:dyDescent="0.35">
      <c r="G448" s="2" t="str">
        <f>IFERROR(VLOOKUP(B448, SOE!F:G, 2, FALSE), "No probado")</f>
        <v>No probado</v>
      </c>
    </row>
    <row r="449" spans="7:7" x14ac:dyDescent="0.35">
      <c r="G449" s="2" t="str">
        <f>IFERROR(VLOOKUP(B449, SOE!F:G, 2, FALSE), "No probado")</f>
        <v>No probado</v>
      </c>
    </row>
    <row r="450" spans="7:7" x14ac:dyDescent="0.35">
      <c r="G450" s="2" t="str">
        <f>IFERROR(VLOOKUP(B450, SOE!F:G, 2, FALSE), "No probado")</f>
        <v>No probado</v>
      </c>
    </row>
    <row r="451" spans="7:7" x14ac:dyDescent="0.35">
      <c r="G451" s="2" t="str">
        <f>IFERROR(VLOOKUP(B451, SOE!F:G, 2, FALSE), "No probado")</f>
        <v>No probado</v>
      </c>
    </row>
    <row r="452" spans="7:7" x14ac:dyDescent="0.35">
      <c r="G452" s="2" t="str">
        <f>IFERROR(VLOOKUP(B452, SOE!F:G, 2, FALSE), "No probado")</f>
        <v>No probado</v>
      </c>
    </row>
    <row r="453" spans="7:7" x14ac:dyDescent="0.35">
      <c r="G453" s="2" t="str">
        <f>IFERROR(VLOOKUP(B453, SOE!F:G, 2, FALSE), "No probado")</f>
        <v>No probado</v>
      </c>
    </row>
    <row r="454" spans="7:7" x14ac:dyDescent="0.35">
      <c r="G454" s="2" t="str">
        <f>IFERROR(VLOOKUP(B454, SOE!F:G, 2, FALSE), "No probado")</f>
        <v>No probado</v>
      </c>
    </row>
    <row r="455" spans="7:7" x14ac:dyDescent="0.35">
      <c r="G455" s="2" t="str">
        <f>IFERROR(VLOOKUP(B455, SOE!F:G, 2, FALSE), "No probado")</f>
        <v>No probado</v>
      </c>
    </row>
    <row r="456" spans="7:7" x14ac:dyDescent="0.35">
      <c r="G456" s="2" t="str">
        <f>IFERROR(VLOOKUP(B456, SOE!F:G, 2, FALSE), "No probado")</f>
        <v>No probado</v>
      </c>
    </row>
    <row r="457" spans="7:7" x14ac:dyDescent="0.35">
      <c r="G457" s="2" t="str">
        <f>IFERROR(VLOOKUP(B457, SOE!F:G, 2, FALSE), "No probado")</f>
        <v>No probado</v>
      </c>
    </row>
    <row r="458" spans="7:7" x14ac:dyDescent="0.35">
      <c r="G458" s="2" t="str">
        <f>IFERROR(VLOOKUP(B458, SOE!F:G, 2, FALSE), "No probado")</f>
        <v>No probado</v>
      </c>
    </row>
    <row r="459" spans="7:7" x14ac:dyDescent="0.35">
      <c r="G459" s="2" t="str">
        <f>IFERROR(VLOOKUP(B459, SOE!F:G, 2, FALSE), "No probado")</f>
        <v>No probado</v>
      </c>
    </row>
    <row r="460" spans="7:7" x14ac:dyDescent="0.35">
      <c r="G460" s="2" t="str">
        <f>IFERROR(VLOOKUP(B460, SOE!F:G, 2, FALSE), "No probado")</f>
        <v>No probado</v>
      </c>
    </row>
    <row r="461" spans="7:7" x14ac:dyDescent="0.35">
      <c r="G461" s="2" t="str">
        <f>IFERROR(VLOOKUP(B461, SOE!F:G, 2, FALSE), "No probado")</f>
        <v>No probado</v>
      </c>
    </row>
    <row r="462" spans="7:7" x14ac:dyDescent="0.35">
      <c r="G462" s="2" t="str">
        <f>IFERROR(VLOOKUP(B462, SOE!F:G, 2, FALSE), "No probado")</f>
        <v>No probado</v>
      </c>
    </row>
    <row r="463" spans="7:7" x14ac:dyDescent="0.35">
      <c r="G463" s="2" t="str">
        <f>IFERROR(VLOOKUP(B463, SOE!F:G, 2, FALSE), "No probado")</f>
        <v>No probado</v>
      </c>
    </row>
    <row r="464" spans="7:7" x14ac:dyDescent="0.35">
      <c r="G464" s="2" t="str">
        <f>IFERROR(VLOOKUP(B464, SOE!F:G, 2, FALSE), "No probado")</f>
        <v>No probado</v>
      </c>
    </row>
    <row r="465" spans="7:7" x14ac:dyDescent="0.35">
      <c r="G465" s="2" t="str">
        <f>IFERROR(VLOOKUP(B465, SOE!F:G, 2, FALSE), "No probado")</f>
        <v>No probado</v>
      </c>
    </row>
    <row r="466" spans="7:7" x14ac:dyDescent="0.35">
      <c r="G466" s="2" t="str">
        <f>IFERROR(VLOOKUP(B466, SOE!F:G, 2, FALSE), "No probado")</f>
        <v>No probado</v>
      </c>
    </row>
    <row r="467" spans="7:7" x14ac:dyDescent="0.35">
      <c r="G467" s="2" t="str">
        <f>IFERROR(VLOOKUP(B467, SOE!F:G, 2, FALSE), "No probado")</f>
        <v>No probado</v>
      </c>
    </row>
    <row r="468" spans="7:7" x14ac:dyDescent="0.35">
      <c r="G468" s="2" t="str">
        <f>IFERROR(VLOOKUP(B468, SOE!F:G, 2, FALSE), "No probado")</f>
        <v>No probado</v>
      </c>
    </row>
    <row r="469" spans="7:7" x14ac:dyDescent="0.35">
      <c r="G469" s="2" t="str">
        <f>IFERROR(VLOOKUP(B469, SOE!F:G, 2, FALSE), "No probado")</f>
        <v>No probado</v>
      </c>
    </row>
    <row r="470" spans="7:7" x14ac:dyDescent="0.35">
      <c r="G470" s="2" t="str">
        <f>IFERROR(VLOOKUP(B470, SOE!F:G, 2, FALSE), "No probado")</f>
        <v>No probado</v>
      </c>
    </row>
    <row r="471" spans="7:7" x14ac:dyDescent="0.35">
      <c r="G471" s="2" t="str">
        <f>IFERROR(VLOOKUP(B471, SOE!F:G, 2, FALSE), "No probado")</f>
        <v>No probado</v>
      </c>
    </row>
    <row r="472" spans="7:7" x14ac:dyDescent="0.35">
      <c r="G472" s="2" t="str">
        <f>IFERROR(VLOOKUP(B472, SOE!F:G, 2, FALSE), "No probado")</f>
        <v>No probado</v>
      </c>
    </row>
    <row r="473" spans="7:7" x14ac:dyDescent="0.35">
      <c r="G473" s="2" t="str">
        <f>IFERROR(VLOOKUP(B473, SOE!F:G, 2, FALSE), "No probado")</f>
        <v>No probado</v>
      </c>
    </row>
    <row r="474" spans="7:7" x14ac:dyDescent="0.35">
      <c r="G474" s="2" t="str">
        <f>IFERROR(VLOOKUP(B474, SOE!F:G, 2, FALSE), "No probado")</f>
        <v>No probado</v>
      </c>
    </row>
    <row r="475" spans="7:7" x14ac:dyDescent="0.35">
      <c r="G475" s="2" t="str">
        <f>IFERROR(VLOOKUP(B475, SOE!F:G, 2, FALSE), "No probado")</f>
        <v>No probado</v>
      </c>
    </row>
    <row r="476" spans="7:7" x14ac:dyDescent="0.35">
      <c r="G476" s="2" t="str">
        <f>IFERROR(VLOOKUP(B476, SOE!F:G, 2, FALSE), "No probado")</f>
        <v>No probado</v>
      </c>
    </row>
    <row r="477" spans="7:7" x14ac:dyDescent="0.35">
      <c r="G477" s="2" t="str">
        <f>IFERROR(VLOOKUP(B477, SOE!F:G, 2, FALSE), "No probado")</f>
        <v>No probado</v>
      </c>
    </row>
    <row r="478" spans="7:7" x14ac:dyDescent="0.35">
      <c r="G478" s="2" t="str">
        <f>IFERROR(VLOOKUP(B478, SOE!F:G, 2, FALSE), "No probado")</f>
        <v>No probado</v>
      </c>
    </row>
    <row r="479" spans="7:7" x14ac:dyDescent="0.35">
      <c r="G479" s="2" t="str">
        <f>IFERROR(VLOOKUP(B479, SOE!F:G, 2, FALSE), "No probado")</f>
        <v>No probado</v>
      </c>
    </row>
    <row r="480" spans="7:7" x14ac:dyDescent="0.35">
      <c r="G480" s="2" t="str">
        <f>IFERROR(VLOOKUP(B480, SOE!F:G, 2, FALSE), "No probado")</f>
        <v>No probado</v>
      </c>
    </row>
    <row r="481" spans="7:7" x14ac:dyDescent="0.35">
      <c r="G481" s="2" t="str">
        <f>IFERROR(VLOOKUP(B481, SOE!F:G, 2, FALSE), "No probado")</f>
        <v>No probado</v>
      </c>
    </row>
    <row r="482" spans="7:7" x14ac:dyDescent="0.35">
      <c r="G482" s="2" t="str">
        <f>IFERROR(VLOOKUP(B482, SOE!F:G, 2, FALSE), "No probado")</f>
        <v>No probado</v>
      </c>
    </row>
    <row r="483" spans="7:7" x14ac:dyDescent="0.35">
      <c r="G483" s="2" t="str">
        <f>IFERROR(VLOOKUP(B483, SOE!F:G, 2, FALSE), "No probado")</f>
        <v>No probado</v>
      </c>
    </row>
    <row r="484" spans="7:7" x14ac:dyDescent="0.35">
      <c r="G484" s="2" t="str">
        <f>IFERROR(VLOOKUP(B484, SOE!F:G, 2, FALSE), "No probado")</f>
        <v>No probado</v>
      </c>
    </row>
    <row r="485" spans="7:7" x14ac:dyDescent="0.35">
      <c r="G485" s="2" t="str">
        <f>IFERROR(VLOOKUP(B485, SOE!F:G, 2, FALSE), "No probado")</f>
        <v>No probado</v>
      </c>
    </row>
    <row r="486" spans="7:7" x14ac:dyDescent="0.35">
      <c r="G486" s="2" t="str">
        <f>IFERROR(VLOOKUP(B486, SOE!F:G, 2, FALSE), "No probado")</f>
        <v>No probado</v>
      </c>
    </row>
    <row r="487" spans="7:7" x14ac:dyDescent="0.35">
      <c r="G487" s="2" t="str">
        <f>IFERROR(VLOOKUP(B487, SOE!F:G, 2, FALSE), "No probado")</f>
        <v>No probado</v>
      </c>
    </row>
    <row r="488" spans="7:7" x14ac:dyDescent="0.35">
      <c r="G488" s="2" t="str">
        <f>IFERROR(VLOOKUP(B488, SOE!F:G, 2, FALSE), "No probado")</f>
        <v>No probado</v>
      </c>
    </row>
    <row r="489" spans="7:7" x14ac:dyDescent="0.35">
      <c r="G489" s="2" t="str">
        <f>IFERROR(VLOOKUP(B489, SOE!F:G, 2, FALSE), "No probado")</f>
        <v>No probado</v>
      </c>
    </row>
    <row r="490" spans="7:7" x14ac:dyDescent="0.35">
      <c r="G490" s="2" t="str">
        <f>IFERROR(VLOOKUP(B490, SOE!F:G, 2, FALSE), "No probado")</f>
        <v>No probado</v>
      </c>
    </row>
    <row r="491" spans="7:7" x14ac:dyDescent="0.35">
      <c r="G491" s="2" t="str">
        <f>IFERROR(VLOOKUP(B491, SOE!F:G, 2, FALSE), "No probado")</f>
        <v>No probado</v>
      </c>
    </row>
    <row r="492" spans="7:7" x14ac:dyDescent="0.35">
      <c r="G492" s="2" t="str">
        <f>IFERROR(VLOOKUP(B492, SOE!F:G, 2, FALSE), "No probado")</f>
        <v>No probado</v>
      </c>
    </row>
    <row r="493" spans="7:7" x14ac:dyDescent="0.35">
      <c r="G493" s="2" t="str">
        <f>IFERROR(VLOOKUP(B493, SOE!F:G, 2, FALSE), "No probado")</f>
        <v>No probado</v>
      </c>
    </row>
    <row r="494" spans="7:7" x14ac:dyDescent="0.35">
      <c r="G494" s="2" t="str">
        <f>IFERROR(VLOOKUP(B494, SOE!F:G, 2, FALSE), "No probado")</f>
        <v>No probado</v>
      </c>
    </row>
    <row r="495" spans="7:7" x14ac:dyDescent="0.35">
      <c r="G495" s="2" t="str">
        <f>IFERROR(VLOOKUP(B495, SOE!F:G, 2, FALSE), "No probado")</f>
        <v>No probado</v>
      </c>
    </row>
    <row r="496" spans="7:7" x14ac:dyDescent="0.35">
      <c r="G496" s="2" t="str">
        <f>IFERROR(VLOOKUP(B496, SOE!F:G, 2, FALSE), "No probado")</f>
        <v>No probado</v>
      </c>
    </row>
    <row r="497" spans="7:7" x14ac:dyDescent="0.35">
      <c r="G497" s="2" t="str">
        <f>IFERROR(VLOOKUP(B497, SOE!F:G, 2, FALSE), "No probado")</f>
        <v>No probado</v>
      </c>
    </row>
    <row r="498" spans="7:7" x14ac:dyDescent="0.35">
      <c r="G498" s="2" t="str">
        <f>IFERROR(VLOOKUP(B498, SOE!F:G, 2, FALSE), "No probado")</f>
        <v>No probado</v>
      </c>
    </row>
    <row r="499" spans="7:7" x14ac:dyDescent="0.35">
      <c r="G499" s="2" t="str">
        <f>IFERROR(VLOOKUP(B499, SOE!F:G, 2, FALSE), "No probado")</f>
        <v>No probado</v>
      </c>
    </row>
    <row r="500" spans="7:7" x14ac:dyDescent="0.35">
      <c r="G500" s="2" t="str">
        <f>IFERROR(VLOOKUP(B500, SOE!F:G, 2, FALSE), "No probado")</f>
        <v>No probado</v>
      </c>
    </row>
    <row r="501" spans="7:7" x14ac:dyDescent="0.35">
      <c r="G501" s="2" t="str">
        <f>IFERROR(VLOOKUP(B501, SOE!F:G, 2, FALSE), "No probado")</f>
        <v>No probado</v>
      </c>
    </row>
    <row r="502" spans="7:7" x14ac:dyDescent="0.35">
      <c r="G502" s="2" t="str">
        <f>IFERROR(VLOOKUP(B502, SOE!F:G, 2, FALSE), "No probado")</f>
        <v>No probado</v>
      </c>
    </row>
    <row r="503" spans="7:7" x14ac:dyDescent="0.35">
      <c r="G503" s="2" t="str">
        <f>IFERROR(VLOOKUP(B503, SOE!F:G, 2, FALSE), "No probado")</f>
        <v>No probado</v>
      </c>
    </row>
    <row r="504" spans="7:7" x14ac:dyDescent="0.35">
      <c r="G504" s="2" t="str">
        <f>IFERROR(VLOOKUP(B504, SOE!F:G, 2, FALSE), "No probado")</f>
        <v>No probado</v>
      </c>
    </row>
    <row r="505" spans="7:7" x14ac:dyDescent="0.35">
      <c r="G505" s="2" t="str">
        <f>IFERROR(VLOOKUP(B505, SOE!F:G, 2, FALSE), "No probado")</f>
        <v>No probado</v>
      </c>
    </row>
    <row r="506" spans="7:7" x14ac:dyDescent="0.35">
      <c r="G506" s="2" t="str">
        <f>IFERROR(VLOOKUP(B506, SOE!F:G, 2, FALSE), "No probado")</f>
        <v>No probado</v>
      </c>
    </row>
    <row r="507" spans="7:7" x14ac:dyDescent="0.35">
      <c r="G507" s="2" t="str">
        <f>IFERROR(VLOOKUP(B507, SOE!F:G, 2, FALSE), "No probado")</f>
        <v>No probado</v>
      </c>
    </row>
    <row r="508" spans="7:7" x14ac:dyDescent="0.35">
      <c r="G508" s="2" t="str">
        <f>IFERROR(VLOOKUP(B508, SOE!F:G, 2, FALSE), "No probado")</f>
        <v>No probado</v>
      </c>
    </row>
    <row r="509" spans="7:7" x14ac:dyDescent="0.35">
      <c r="G509" s="2" t="str">
        <f>IFERROR(VLOOKUP(B509, SOE!F:G, 2, FALSE), "No probado")</f>
        <v>No probado</v>
      </c>
    </row>
    <row r="510" spans="7:7" x14ac:dyDescent="0.35">
      <c r="G510" s="2" t="str">
        <f>IFERROR(VLOOKUP(B510, SOE!F:G, 2, FALSE), "No probado")</f>
        <v>No probado</v>
      </c>
    </row>
    <row r="511" spans="7:7" x14ac:dyDescent="0.35">
      <c r="G511" s="2" t="str">
        <f>IFERROR(VLOOKUP(B511, SOE!F:G, 2, FALSE), "No probado")</f>
        <v>No probado</v>
      </c>
    </row>
    <row r="512" spans="7:7" x14ac:dyDescent="0.35">
      <c r="G512" s="2" t="str">
        <f>IFERROR(VLOOKUP(B512, SOE!F:G, 2, FALSE), "No probado")</f>
        <v>No probado</v>
      </c>
    </row>
    <row r="513" spans="7:7" x14ac:dyDescent="0.35">
      <c r="G513" s="2" t="str">
        <f>IFERROR(VLOOKUP(B513, SOE!F:G, 2, FALSE), "No probado")</f>
        <v>No probado</v>
      </c>
    </row>
    <row r="514" spans="7:7" x14ac:dyDescent="0.35">
      <c r="G514" s="2" t="str">
        <f>IFERROR(VLOOKUP(B514, SOE!F:G, 2, FALSE), "No probado")</f>
        <v>No probado</v>
      </c>
    </row>
    <row r="515" spans="7:7" x14ac:dyDescent="0.35">
      <c r="G515" s="2" t="str">
        <f>IFERROR(VLOOKUP(B515, SOE!F:G, 2, FALSE), "No probado")</f>
        <v>No probado</v>
      </c>
    </row>
    <row r="516" spans="7:7" x14ac:dyDescent="0.35">
      <c r="G516" s="2" t="str">
        <f>IFERROR(VLOOKUP(B516, SOE!F:G, 2, FALSE), "No probado")</f>
        <v>No probado</v>
      </c>
    </row>
    <row r="517" spans="7:7" x14ac:dyDescent="0.35">
      <c r="G517" s="2" t="str">
        <f>IFERROR(VLOOKUP(B517, SOE!F:G, 2, FALSE), "No probado")</f>
        <v>No probado</v>
      </c>
    </row>
    <row r="518" spans="7:7" x14ac:dyDescent="0.35">
      <c r="G518" s="2" t="str">
        <f>IFERROR(VLOOKUP(B518, SOE!F:G, 2, FALSE), "No probado")</f>
        <v>No probado</v>
      </c>
    </row>
    <row r="519" spans="7:7" x14ac:dyDescent="0.35">
      <c r="G519" s="2" t="str">
        <f>IFERROR(VLOOKUP(B519, SOE!F:G, 2, FALSE), "No probado")</f>
        <v>No probado</v>
      </c>
    </row>
    <row r="520" spans="7:7" x14ac:dyDescent="0.35">
      <c r="G520" s="2" t="str">
        <f>IFERROR(VLOOKUP(B520, SOE!F:G, 2, FALSE), "No probado")</f>
        <v>No probado</v>
      </c>
    </row>
    <row r="521" spans="7:7" x14ac:dyDescent="0.35">
      <c r="G521" s="2" t="str">
        <f>IFERROR(VLOOKUP(B521, SOE!F:G, 2, FALSE), "No probado")</f>
        <v>No probado</v>
      </c>
    </row>
    <row r="522" spans="7:7" x14ac:dyDescent="0.35">
      <c r="G522" s="2" t="str">
        <f>IFERROR(VLOOKUP(B522, SOE!F:G, 2, FALSE), "No probado")</f>
        <v>No probado</v>
      </c>
    </row>
    <row r="523" spans="7:7" x14ac:dyDescent="0.35">
      <c r="G523" s="2" t="str">
        <f>IFERROR(VLOOKUP(B523, SOE!F:G, 2, FALSE), "No probado")</f>
        <v>No probado</v>
      </c>
    </row>
    <row r="524" spans="7:7" x14ac:dyDescent="0.35">
      <c r="G524" s="2" t="str">
        <f>IFERROR(VLOOKUP(B524, SOE!F:G, 2, FALSE), "No probado")</f>
        <v>No probado</v>
      </c>
    </row>
    <row r="525" spans="7:7" x14ac:dyDescent="0.35">
      <c r="G525" s="2" t="str">
        <f>IFERROR(VLOOKUP(B525, SOE!F:G, 2, FALSE), "No probado")</f>
        <v>No probado</v>
      </c>
    </row>
    <row r="526" spans="7:7" x14ac:dyDescent="0.35">
      <c r="G526" s="2" t="str">
        <f>IFERROR(VLOOKUP(B526, SOE!F:G, 2, FALSE), "No probado")</f>
        <v>No probado</v>
      </c>
    </row>
    <row r="527" spans="7:7" x14ac:dyDescent="0.35">
      <c r="G527" s="2" t="str">
        <f>IFERROR(VLOOKUP(B527, SOE!F:G, 2, FALSE), "No probado")</f>
        <v>No probado</v>
      </c>
    </row>
    <row r="528" spans="7:7" x14ac:dyDescent="0.35">
      <c r="G528" s="2" t="str">
        <f>IFERROR(VLOOKUP(B528, SOE!F:G, 2, FALSE), "No probado")</f>
        <v>No probado</v>
      </c>
    </row>
    <row r="529" spans="7:7" x14ac:dyDescent="0.35">
      <c r="G529" s="2" t="str">
        <f>IFERROR(VLOOKUP(B529, SOE!F:G, 2, FALSE), "No probado")</f>
        <v>No probado</v>
      </c>
    </row>
    <row r="530" spans="7:7" x14ac:dyDescent="0.35">
      <c r="G530" s="2" t="str">
        <f>IFERROR(VLOOKUP(B530, SOE!F:G, 2, FALSE), "No probado")</f>
        <v>No probado</v>
      </c>
    </row>
    <row r="531" spans="7:7" x14ac:dyDescent="0.35">
      <c r="G531" s="2" t="str">
        <f>IFERROR(VLOOKUP(B531, SOE!F:G, 2, FALSE), "No probado")</f>
        <v>No probado</v>
      </c>
    </row>
    <row r="532" spans="7:7" x14ac:dyDescent="0.35">
      <c r="G532" s="2" t="str">
        <f>IFERROR(VLOOKUP(B532, SOE!F:G, 2, FALSE), "No probado")</f>
        <v>No probado</v>
      </c>
    </row>
    <row r="533" spans="7:7" x14ac:dyDescent="0.35">
      <c r="G533" s="2" t="str">
        <f>IFERROR(VLOOKUP(B533, SOE!F:G, 2, FALSE), "No probado")</f>
        <v>No probado</v>
      </c>
    </row>
    <row r="534" spans="7:7" x14ac:dyDescent="0.35">
      <c r="G534" s="2" t="str">
        <f>IFERROR(VLOOKUP(B534, SOE!F:G, 2, FALSE), "No probado")</f>
        <v>No probado</v>
      </c>
    </row>
    <row r="535" spans="7:7" x14ac:dyDescent="0.35">
      <c r="G535" s="2" t="str">
        <f>IFERROR(VLOOKUP(B535, SOE!F:G, 2, FALSE), "No probado")</f>
        <v>No probado</v>
      </c>
    </row>
    <row r="536" spans="7:7" x14ac:dyDescent="0.35">
      <c r="G536" s="2" t="str">
        <f>IFERROR(VLOOKUP(B536, SOE!F:G, 2, FALSE), "No probado")</f>
        <v>No probado</v>
      </c>
    </row>
    <row r="537" spans="7:7" x14ac:dyDescent="0.35">
      <c r="G537" s="2" t="str">
        <f>IFERROR(VLOOKUP(B537, SOE!F:G, 2, FALSE), "No probado")</f>
        <v>No probado</v>
      </c>
    </row>
    <row r="538" spans="7:7" x14ac:dyDescent="0.35">
      <c r="G538" s="2" t="str">
        <f>IFERROR(VLOOKUP(B538, SOE!F:G, 2, FALSE), "No probado")</f>
        <v>No probado</v>
      </c>
    </row>
    <row r="539" spans="7:7" x14ac:dyDescent="0.35">
      <c r="G539" s="2" t="str">
        <f>IFERROR(VLOOKUP(B539, SOE!F:G, 2, FALSE), "No probado")</f>
        <v>No probado</v>
      </c>
    </row>
    <row r="540" spans="7:7" x14ac:dyDescent="0.35">
      <c r="G540" s="2" t="str">
        <f>IFERROR(VLOOKUP(B540, SOE!F:G, 2, FALSE), "No probado")</f>
        <v>No probado</v>
      </c>
    </row>
    <row r="541" spans="7:7" x14ac:dyDescent="0.35">
      <c r="G541" s="2" t="str">
        <f>IFERROR(VLOOKUP(B541, SOE!F:G, 2, FALSE), "No probado")</f>
        <v>No probado</v>
      </c>
    </row>
    <row r="542" spans="7:7" x14ac:dyDescent="0.35">
      <c r="G542" s="2" t="str">
        <f>IFERROR(VLOOKUP(B542, SOE!F:G, 2, FALSE), "No probado")</f>
        <v>No probado</v>
      </c>
    </row>
    <row r="543" spans="7:7" x14ac:dyDescent="0.35">
      <c r="G543" s="2" t="str">
        <f>IFERROR(VLOOKUP(B543, SOE!F:G, 2, FALSE), "No probado")</f>
        <v>No probado</v>
      </c>
    </row>
    <row r="544" spans="7:7" x14ac:dyDescent="0.35">
      <c r="G544" s="2" t="str">
        <f>IFERROR(VLOOKUP(B544, SOE!F:G, 2, FALSE), "No probado")</f>
        <v>No probado</v>
      </c>
    </row>
    <row r="545" spans="7:7" x14ac:dyDescent="0.35">
      <c r="G545" s="2" t="str">
        <f>IFERROR(VLOOKUP(B545, SOE!F:G, 2, FALSE), "No probado")</f>
        <v>No probado</v>
      </c>
    </row>
    <row r="546" spans="7:7" x14ac:dyDescent="0.35">
      <c r="G546" s="2" t="str">
        <f>IFERROR(VLOOKUP(B546, SOE!F:G, 2, FALSE), "No probado")</f>
        <v>No probado</v>
      </c>
    </row>
    <row r="547" spans="7:7" x14ac:dyDescent="0.35">
      <c r="G547" s="2" t="str">
        <f>IFERROR(VLOOKUP(B547, SOE!F:G, 2, FALSE), "No probado")</f>
        <v>No probado</v>
      </c>
    </row>
    <row r="548" spans="7:7" x14ac:dyDescent="0.35">
      <c r="G548" s="2" t="str">
        <f>IFERROR(VLOOKUP(B548, SOE!F:G, 2, FALSE), "No probado")</f>
        <v>No probado</v>
      </c>
    </row>
    <row r="549" spans="7:7" x14ac:dyDescent="0.35">
      <c r="G549" s="2" t="str">
        <f>IFERROR(VLOOKUP(B549, SOE!F:G, 2, FALSE), "No probado")</f>
        <v>No probado</v>
      </c>
    </row>
    <row r="550" spans="7:7" x14ac:dyDescent="0.35">
      <c r="G550" s="2" t="str">
        <f>IFERROR(VLOOKUP(B550, SOE!F:G, 2, FALSE), "No probado")</f>
        <v>No probado</v>
      </c>
    </row>
    <row r="551" spans="7:7" x14ac:dyDescent="0.35">
      <c r="G551" s="2" t="str">
        <f>IFERROR(VLOOKUP(B551, SOE!F:G, 2, FALSE), "No probado")</f>
        <v>No probado</v>
      </c>
    </row>
    <row r="552" spans="7:7" x14ac:dyDescent="0.35">
      <c r="G552" s="2" t="str">
        <f>IFERROR(VLOOKUP(B552, SOE!F:G, 2, FALSE), "No probado")</f>
        <v>No probado</v>
      </c>
    </row>
    <row r="553" spans="7:7" x14ac:dyDescent="0.35">
      <c r="G553" s="2" t="str">
        <f>IFERROR(VLOOKUP(B553, SOE!F:G, 2, FALSE), "No probado")</f>
        <v>No probado</v>
      </c>
    </row>
    <row r="554" spans="7:7" x14ac:dyDescent="0.35">
      <c r="G554" s="2" t="str">
        <f>IFERROR(VLOOKUP(B554, SOE!F:G, 2, FALSE), "No probado")</f>
        <v>No probado</v>
      </c>
    </row>
    <row r="555" spans="7:7" x14ac:dyDescent="0.35">
      <c r="G555" s="2" t="str">
        <f>IFERROR(VLOOKUP(B555, SOE!F:G, 2, FALSE), "No probado")</f>
        <v>No probado</v>
      </c>
    </row>
    <row r="556" spans="7:7" x14ac:dyDescent="0.35">
      <c r="G556" s="2" t="str">
        <f>IFERROR(VLOOKUP(B556, SOE!F:G, 2, FALSE), "No probado")</f>
        <v>No probado</v>
      </c>
    </row>
    <row r="557" spans="7:7" x14ac:dyDescent="0.35">
      <c r="G557" s="2" t="str">
        <f>IFERROR(VLOOKUP(B557, SOE!F:G, 2, FALSE), "No probado")</f>
        <v>No probado</v>
      </c>
    </row>
    <row r="558" spans="7:7" x14ac:dyDescent="0.35">
      <c r="G558" s="2" t="str">
        <f>IFERROR(VLOOKUP(B558, SOE!F:G, 2, FALSE), "No probado")</f>
        <v>No probado</v>
      </c>
    </row>
    <row r="559" spans="7:7" x14ac:dyDescent="0.35">
      <c r="G559" s="2" t="str">
        <f>IFERROR(VLOOKUP(B559, SOE!F:G, 2, FALSE), "No probado")</f>
        <v>No probado</v>
      </c>
    </row>
    <row r="560" spans="7:7" x14ac:dyDescent="0.35">
      <c r="G560" s="2" t="str">
        <f>IFERROR(VLOOKUP(B560, SOE!F:G, 2, FALSE), "No probado")</f>
        <v>No probado</v>
      </c>
    </row>
    <row r="561" spans="7:7" x14ac:dyDescent="0.35">
      <c r="G561" s="2" t="str">
        <f>IFERROR(VLOOKUP(B561, SOE!F:G, 2, FALSE), "No probado")</f>
        <v>No probado</v>
      </c>
    </row>
    <row r="562" spans="7:7" x14ac:dyDescent="0.35">
      <c r="G562" s="2" t="str">
        <f>IFERROR(VLOOKUP(B562, SOE!F:G, 2, FALSE), "No probado")</f>
        <v>No probado</v>
      </c>
    </row>
    <row r="563" spans="7:7" x14ac:dyDescent="0.35">
      <c r="G563" s="2" t="str">
        <f>IFERROR(VLOOKUP(B563, SOE!F:G, 2, FALSE), "No probado")</f>
        <v>No probado</v>
      </c>
    </row>
    <row r="564" spans="7:7" x14ac:dyDescent="0.35">
      <c r="G564" s="2" t="str">
        <f>IFERROR(VLOOKUP(B564, SOE!F:G, 2, FALSE), "No probado")</f>
        <v>No probado</v>
      </c>
    </row>
    <row r="565" spans="7:7" x14ac:dyDescent="0.35">
      <c r="G565" s="2" t="str">
        <f>IFERROR(VLOOKUP(B565, SOE!F:G, 2, FALSE), "No probado")</f>
        <v>No probado</v>
      </c>
    </row>
    <row r="566" spans="7:7" x14ac:dyDescent="0.35">
      <c r="G566" s="2" t="str">
        <f>IFERROR(VLOOKUP(B566, SOE!F:G, 2, FALSE), "No probado")</f>
        <v>No probado</v>
      </c>
    </row>
    <row r="567" spans="7:7" x14ac:dyDescent="0.35">
      <c r="G567" s="2" t="str">
        <f>IFERROR(VLOOKUP(B567, SOE!F:G, 2, FALSE), "No probado")</f>
        <v>No probado</v>
      </c>
    </row>
    <row r="568" spans="7:7" x14ac:dyDescent="0.35">
      <c r="G568" s="2" t="str">
        <f>IFERROR(VLOOKUP(B568, SOE!F:G, 2, FALSE), "No probado")</f>
        <v>No probado</v>
      </c>
    </row>
    <row r="569" spans="7:7" x14ac:dyDescent="0.35">
      <c r="G569" s="2" t="str">
        <f>IFERROR(VLOOKUP(B569, SOE!F:G, 2, FALSE), "No probado")</f>
        <v>No probado</v>
      </c>
    </row>
    <row r="570" spans="7:7" x14ac:dyDescent="0.35">
      <c r="G570" s="2" t="str">
        <f>IFERROR(VLOOKUP(B570, SOE!F:G, 2, FALSE), "No probado")</f>
        <v>No probado</v>
      </c>
    </row>
    <row r="571" spans="7:7" x14ac:dyDescent="0.35">
      <c r="G571" s="2" t="str">
        <f>IFERROR(VLOOKUP(B571, SOE!F:G, 2, FALSE), "No probado")</f>
        <v>No probado</v>
      </c>
    </row>
    <row r="572" spans="7:7" x14ac:dyDescent="0.35">
      <c r="G572" s="2" t="str">
        <f>IFERROR(VLOOKUP(B572, SOE!F:G, 2, FALSE), "No probado")</f>
        <v>No probado</v>
      </c>
    </row>
    <row r="573" spans="7:7" x14ac:dyDescent="0.35">
      <c r="G573" s="2" t="str">
        <f>IFERROR(VLOOKUP(B573, SOE!F:G, 2, FALSE), "No probado")</f>
        <v>No probado</v>
      </c>
    </row>
    <row r="574" spans="7:7" x14ac:dyDescent="0.35">
      <c r="G574" s="2" t="str">
        <f>IFERROR(VLOOKUP(B574, SOE!F:G, 2, FALSE), "No probado")</f>
        <v>No probado</v>
      </c>
    </row>
    <row r="575" spans="7:7" x14ac:dyDescent="0.35">
      <c r="G575" s="2" t="str">
        <f>IFERROR(VLOOKUP(B575, SOE!F:G, 2, FALSE), "No probado")</f>
        <v>No probado</v>
      </c>
    </row>
    <row r="576" spans="7:7" x14ac:dyDescent="0.35">
      <c r="G576" s="2" t="str">
        <f>IFERROR(VLOOKUP(B576, SOE!F:G, 2, FALSE), "No probado")</f>
        <v>No probado</v>
      </c>
    </row>
    <row r="577" spans="7:7" x14ac:dyDescent="0.35">
      <c r="G577" s="2" t="str">
        <f>IFERROR(VLOOKUP(B577, SOE!F:G, 2, FALSE), "No probado")</f>
        <v>No probado</v>
      </c>
    </row>
    <row r="578" spans="7:7" x14ac:dyDescent="0.35">
      <c r="G578" s="2" t="str">
        <f>IFERROR(VLOOKUP(B578, SOE!F:G, 2, FALSE), "No probado")</f>
        <v>No probado</v>
      </c>
    </row>
    <row r="579" spans="7:7" x14ac:dyDescent="0.35">
      <c r="G579" s="2" t="str">
        <f>IFERROR(VLOOKUP(B579, SOE!F:G, 2, FALSE), "No probado")</f>
        <v>No probado</v>
      </c>
    </row>
    <row r="580" spans="7:7" x14ac:dyDescent="0.35">
      <c r="G580" s="2" t="str">
        <f>IFERROR(VLOOKUP(B580, SOE!F:G, 2, FALSE), "No probado")</f>
        <v>No probado</v>
      </c>
    </row>
    <row r="581" spans="7:7" x14ac:dyDescent="0.35">
      <c r="G581" s="2" t="str">
        <f>IFERROR(VLOOKUP(B581, SOE!F:G, 2, FALSE), "No probado")</f>
        <v>No probado</v>
      </c>
    </row>
    <row r="582" spans="7:7" x14ac:dyDescent="0.35">
      <c r="G582" s="2" t="str">
        <f>IFERROR(VLOOKUP(B582, SOE!F:G, 2, FALSE), "No probado")</f>
        <v>No probado</v>
      </c>
    </row>
    <row r="583" spans="7:7" x14ac:dyDescent="0.35">
      <c r="G583" s="2" t="str">
        <f>IFERROR(VLOOKUP(B583, SOE!F:G, 2, FALSE), "No probado")</f>
        <v>No probado</v>
      </c>
    </row>
    <row r="584" spans="7:7" x14ac:dyDescent="0.35">
      <c r="G584" s="2" t="str">
        <f>IFERROR(VLOOKUP(B584, SOE!F:G, 2, FALSE), "No probado")</f>
        <v>No probado</v>
      </c>
    </row>
    <row r="585" spans="7:7" x14ac:dyDescent="0.35">
      <c r="G585" s="2" t="str">
        <f>IFERROR(VLOOKUP(B585, SOE!F:G, 2, FALSE), "No probado")</f>
        <v>No probado</v>
      </c>
    </row>
    <row r="586" spans="7:7" x14ac:dyDescent="0.35">
      <c r="G586" s="2" t="str">
        <f>IFERROR(VLOOKUP(B586, SOE!F:G, 2, FALSE), "No probado")</f>
        <v>No probado</v>
      </c>
    </row>
    <row r="587" spans="7:7" x14ac:dyDescent="0.35">
      <c r="G587" s="2" t="str">
        <f>IFERROR(VLOOKUP(B587, SOE!F:G, 2, FALSE), "No probado")</f>
        <v>No probado</v>
      </c>
    </row>
    <row r="588" spans="7:7" x14ac:dyDescent="0.35">
      <c r="G588" s="2" t="str">
        <f>IFERROR(VLOOKUP(B588, SOE!F:G, 2, FALSE), "No probado")</f>
        <v>No probado</v>
      </c>
    </row>
    <row r="589" spans="7:7" x14ac:dyDescent="0.35">
      <c r="G589" s="2" t="str">
        <f>IFERROR(VLOOKUP(B589, SOE!F:G, 2, FALSE), "No probado")</f>
        <v>No probado</v>
      </c>
    </row>
    <row r="590" spans="7:7" x14ac:dyDescent="0.35">
      <c r="G590" s="2" t="str">
        <f>IFERROR(VLOOKUP(B590, SOE!F:G, 2, FALSE), "No probado")</f>
        <v>No probado</v>
      </c>
    </row>
    <row r="591" spans="7:7" x14ac:dyDescent="0.35">
      <c r="G591" s="2" t="str">
        <f>IFERROR(VLOOKUP(B591, SOE!F:G, 2, FALSE), "No probado")</f>
        <v>No probado</v>
      </c>
    </row>
    <row r="592" spans="7:7" x14ac:dyDescent="0.35">
      <c r="G592" s="2" t="str">
        <f>IFERROR(VLOOKUP(B592, SOE!F:G, 2, FALSE), "No probado")</f>
        <v>No probado</v>
      </c>
    </row>
    <row r="593" spans="7:7" x14ac:dyDescent="0.35">
      <c r="G593" s="2" t="str">
        <f>IFERROR(VLOOKUP(B593, SOE!F:G, 2, FALSE), "No probado")</f>
        <v>No probado</v>
      </c>
    </row>
    <row r="594" spans="7:7" x14ac:dyDescent="0.35">
      <c r="G594" s="2" t="str">
        <f>IFERROR(VLOOKUP(B594, SOE!F:G, 2, FALSE), "No probado")</f>
        <v>No probado</v>
      </c>
    </row>
    <row r="595" spans="7:7" x14ac:dyDescent="0.35">
      <c r="G595" s="2" t="str">
        <f>IFERROR(VLOOKUP(B595, SOE!F:G, 2, FALSE), "No probado")</f>
        <v>No probado</v>
      </c>
    </row>
    <row r="596" spans="7:7" x14ac:dyDescent="0.35">
      <c r="G596" s="2" t="str">
        <f>IFERROR(VLOOKUP(B596, SOE!F:G, 2, FALSE), "No probado")</f>
        <v>No probado</v>
      </c>
    </row>
    <row r="597" spans="7:7" x14ac:dyDescent="0.35">
      <c r="G597" s="2" t="str">
        <f>IFERROR(VLOOKUP(B597, SOE!F:G, 2, FALSE), "No probado")</f>
        <v>No probado</v>
      </c>
    </row>
    <row r="598" spans="7:7" x14ac:dyDescent="0.35">
      <c r="G598" s="2" t="str">
        <f>IFERROR(VLOOKUP(B598, SOE!F:G, 2, FALSE), "No probado")</f>
        <v>No probado</v>
      </c>
    </row>
    <row r="599" spans="7:7" x14ac:dyDescent="0.35">
      <c r="G599" s="2" t="str">
        <f>IFERROR(VLOOKUP(B599, SOE!F:G, 2, FALSE), "No probado")</f>
        <v>No probado</v>
      </c>
    </row>
    <row r="600" spans="7:7" x14ac:dyDescent="0.35">
      <c r="G600" s="2" t="str">
        <f>IFERROR(VLOOKUP(B600, SOE!F:G, 2, FALSE), "No probado")</f>
        <v>No probado</v>
      </c>
    </row>
    <row r="601" spans="7:7" x14ac:dyDescent="0.35">
      <c r="G601" s="2" t="str">
        <f>IFERROR(VLOOKUP(B601, SOE!F:G, 2, FALSE), "No probado")</f>
        <v>No probado</v>
      </c>
    </row>
    <row r="602" spans="7:7" x14ac:dyDescent="0.35">
      <c r="G602" s="2" t="str">
        <f>IFERROR(VLOOKUP(B602, SOE!F:G, 2, FALSE), "No probado")</f>
        <v>No probado</v>
      </c>
    </row>
    <row r="603" spans="7:7" x14ac:dyDescent="0.35">
      <c r="G603" s="2" t="str">
        <f>IFERROR(VLOOKUP(B603, SOE!F:G, 2, FALSE), "No probado")</f>
        <v>No probado</v>
      </c>
    </row>
    <row r="604" spans="7:7" x14ac:dyDescent="0.35">
      <c r="G604" s="2" t="str">
        <f>IFERROR(VLOOKUP(B604, SOE!F:G, 2, FALSE), "No probado")</f>
        <v>No probado</v>
      </c>
    </row>
    <row r="605" spans="7:7" x14ac:dyDescent="0.35">
      <c r="G605" s="2" t="str">
        <f>IFERROR(VLOOKUP(B605, SOE!F:G, 2, FALSE), "No probado")</f>
        <v>No probado</v>
      </c>
    </row>
    <row r="606" spans="7:7" x14ac:dyDescent="0.35">
      <c r="G606" s="2" t="str">
        <f>IFERROR(VLOOKUP(B606, SOE!F:G, 2, FALSE), "No probado")</f>
        <v>No probado</v>
      </c>
    </row>
    <row r="607" spans="7:7" x14ac:dyDescent="0.35">
      <c r="G607" s="2" t="str">
        <f>IFERROR(VLOOKUP(B607, SOE!F:G, 2, FALSE), "No probado")</f>
        <v>No probado</v>
      </c>
    </row>
    <row r="608" spans="7:7" x14ac:dyDescent="0.35">
      <c r="G608" s="2" t="str">
        <f>IFERROR(VLOOKUP(B608, SOE!F:G, 2, FALSE), "No probado")</f>
        <v>No probado</v>
      </c>
    </row>
    <row r="609" spans="7:7" x14ac:dyDescent="0.35">
      <c r="G609" s="2" t="str">
        <f>IFERROR(VLOOKUP(B609, SOE!F:G, 2, FALSE), "No probado")</f>
        <v>No probado</v>
      </c>
    </row>
    <row r="610" spans="7:7" x14ac:dyDescent="0.35">
      <c r="G610" s="2" t="str">
        <f>IFERROR(VLOOKUP(B610, SOE!F:G, 2, FALSE), "No probado")</f>
        <v>No probado</v>
      </c>
    </row>
    <row r="611" spans="7:7" x14ac:dyDescent="0.35">
      <c r="G611" s="2" t="str">
        <f>IFERROR(VLOOKUP(B611, SOE!F:G, 2, FALSE), "No probado")</f>
        <v>No probado</v>
      </c>
    </row>
    <row r="612" spans="7:7" x14ac:dyDescent="0.35">
      <c r="G612" s="2" t="str">
        <f>IFERROR(VLOOKUP(B612, SOE!F:G, 2, FALSE), "No probado")</f>
        <v>No probado</v>
      </c>
    </row>
    <row r="613" spans="7:7" x14ac:dyDescent="0.35">
      <c r="G613" s="2" t="str">
        <f>IFERROR(VLOOKUP(B613, SOE!F:G, 2, FALSE), "No probado")</f>
        <v>No probado</v>
      </c>
    </row>
    <row r="614" spans="7:7" x14ac:dyDescent="0.35">
      <c r="G614" s="2" t="str">
        <f>IFERROR(VLOOKUP(B614, SOE!F:G, 2, FALSE), "No probado")</f>
        <v>No probado</v>
      </c>
    </row>
    <row r="615" spans="7:7" x14ac:dyDescent="0.35">
      <c r="G615" s="2" t="str">
        <f>IFERROR(VLOOKUP(B615, SOE!F:G, 2, FALSE), "No probado")</f>
        <v>No probado</v>
      </c>
    </row>
    <row r="616" spans="7:7" x14ac:dyDescent="0.35">
      <c r="G616" s="2" t="str">
        <f>IFERROR(VLOOKUP(B616, SOE!F:G, 2, FALSE), "No probado")</f>
        <v>No probado</v>
      </c>
    </row>
    <row r="617" spans="7:7" x14ac:dyDescent="0.35">
      <c r="G617" s="2" t="str">
        <f>IFERROR(VLOOKUP(B617, SOE!F:G, 2, FALSE), "No probado")</f>
        <v>No probado</v>
      </c>
    </row>
    <row r="618" spans="7:7" x14ac:dyDescent="0.35">
      <c r="G618" s="2" t="str">
        <f>IFERROR(VLOOKUP(B618, SOE!F:G, 2, FALSE), "No probado")</f>
        <v>No probado</v>
      </c>
    </row>
    <row r="619" spans="7:7" x14ac:dyDescent="0.35">
      <c r="G619" s="2" t="str">
        <f>IFERROR(VLOOKUP(B619, SOE!F:G, 2, FALSE), "No probado")</f>
        <v>No probado</v>
      </c>
    </row>
    <row r="620" spans="7:7" x14ac:dyDescent="0.35">
      <c r="G620" s="2" t="str">
        <f>IFERROR(VLOOKUP(B620, SOE!F:G, 2, FALSE), "No probado")</f>
        <v>No probado</v>
      </c>
    </row>
    <row r="621" spans="7:7" x14ac:dyDescent="0.35">
      <c r="G621" s="2" t="str">
        <f>IFERROR(VLOOKUP(B621, SOE!F:G, 2, FALSE), "No probado")</f>
        <v>No probado</v>
      </c>
    </row>
    <row r="622" spans="7:7" x14ac:dyDescent="0.35">
      <c r="G622" s="2" t="str">
        <f>IFERROR(VLOOKUP(B622, SOE!F:G, 2, FALSE), "No probado")</f>
        <v>No probado</v>
      </c>
    </row>
    <row r="623" spans="7:7" x14ac:dyDescent="0.35">
      <c r="G623" s="2" t="str">
        <f>IFERROR(VLOOKUP(B623, SOE!F:G, 2, FALSE), "No probado")</f>
        <v>No probado</v>
      </c>
    </row>
    <row r="624" spans="7:7" x14ac:dyDescent="0.35">
      <c r="G624" s="2" t="str">
        <f>IFERROR(VLOOKUP(B624, SOE!F:G, 2, FALSE), "No probado")</f>
        <v>No probado</v>
      </c>
    </row>
    <row r="625" spans="7:7" x14ac:dyDescent="0.35">
      <c r="G625" s="2" t="str">
        <f>IFERROR(VLOOKUP(B625, SOE!F:G, 2, FALSE), "No probado")</f>
        <v>No probado</v>
      </c>
    </row>
    <row r="626" spans="7:7" x14ac:dyDescent="0.35">
      <c r="G626" s="2" t="str">
        <f>IFERROR(VLOOKUP(B626, SOE!F:G, 2, FALSE), "No probado")</f>
        <v>No probado</v>
      </c>
    </row>
    <row r="627" spans="7:7" x14ac:dyDescent="0.35">
      <c r="G627" s="2" t="str">
        <f>IFERROR(VLOOKUP(B627, SOE!F:G, 2, FALSE), "No probado")</f>
        <v>No probado</v>
      </c>
    </row>
    <row r="628" spans="7:7" x14ac:dyDescent="0.35">
      <c r="G628" s="2" t="str">
        <f>IFERROR(VLOOKUP(B628, SOE!F:G, 2, FALSE), "No probado")</f>
        <v>No probado</v>
      </c>
    </row>
    <row r="629" spans="7:7" x14ac:dyDescent="0.35">
      <c r="G629" s="2" t="str">
        <f>IFERROR(VLOOKUP(B629, SOE!F:G, 2, FALSE), "No probado")</f>
        <v>No probado</v>
      </c>
    </row>
    <row r="630" spans="7:7" x14ac:dyDescent="0.35">
      <c r="G630" s="2" t="str">
        <f>IFERROR(VLOOKUP(B630, SOE!F:G, 2, FALSE), "No probado")</f>
        <v>No probado</v>
      </c>
    </row>
    <row r="631" spans="7:7" x14ac:dyDescent="0.35">
      <c r="G631" s="2" t="str">
        <f>IFERROR(VLOOKUP(B631, SOE!F:G, 2, FALSE), "No probado")</f>
        <v>No probado</v>
      </c>
    </row>
    <row r="632" spans="7:7" x14ac:dyDescent="0.35">
      <c r="G632" s="2" t="str">
        <f>IFERROR(VLOOKUP(B632, SOE!F:G, 2, FALSE), "No probado")</f>
        <v>No probado</v>
      </c>
    </row>
    <row r="633" spans="7:7" x14ac:dyDescent="0.35">
      <c r="G633" s="2" t="str">
        <f>IFERROR(VLOOKUP(B633, SOE!F:G, 2, FALSE), "No probado")</f>
        <v>No probado</v>
      </c>
    </row>
    <row r="634" spans="7:7" x14ac:dyDescent="0.35">
      <c r="G634" s="2" t="str">
        <f>IFERROR(VLOOKUP(B634, SOE!F:G, 2, FALSE), "No probado")</f>
        <v>No probado</v>
      </c>
    </row>
    <row r="635" spans="7:7" x14ac:dyDescent="0.35">
      <c r="G635" s="2" t="str">
        <f>IFERROR(VLOOKUP(B635, SOE!F:G, 2, FALSE), "No probado")</f>
        <v>No probado</v>
      </c>
    </row>
    <row r="636" spans="7:7" x14ac:dyDescent="0.35">
      <c r="G636" s="2" t="str">
        <f>IFERROR(VLOOKUP(B636, SOE!F:G, 2, FALSE), "No probado")</f>
        <v>No probado</v>
      </c>
    </row>
    <row r="637" spans="7:7" x14ac:dyDescent="0.35">
      <c r="G637" s="2" t="str">
        <f>IFERROR(VLOOKUP(B637, SOE!F:G, 2, FALSE), "No probado")</f>
        <v>No probado</v>
      </c>
    </row>
    <row r="638" spans="7:7" x14ac:dyDescent="0.35">
      <c r="G638" s="2" t="str">
        <f>IFERROR(VLOOKUP(B638, SOE!F:G, 2, FALSE), "No probado")</f>
        <v>No probado</v>
      </c>
    </row>
    <row r="639" spans="7:7" x14ac:dyDescent="0.35">
      <c r="G639" s="2" t="str">
        <f>IFERROR(VLOOKUP(B639, SOE!F:G, 2, FALSE), "No probado")</f>
        <v>No probado</v>
      </c>
    </row>
    <row r="640" spans="7:7" x14ac:dyDescent="0.35">
      <c r="G640" s="2" t="str">
        <f>IFERROR(VLOOKUP(B640, SOE!F:G, 2, FALSE), "No probado")</f>
        <v>No probado</v>
      </c>
    </row>
    <row r="641" spans="7:7" x14ac:dyDescent="0.35">
      <c r="G641" s="2" t="str">
        <f>IFERROR(VLOOKUP(B641, SOE!F:G, 2, FALSE), "No probado")</f>
        <v>No probado</v>
      </c>
    </row>
    <row r="642" spans="7:7" x14ac:dyDescent="0.35">
      <c r="G642" s="2" t="str">
        <f>IFERROR(VLOOKUP(B642, SOE!F:G, 2, FALSE), "No probado")</f>
        <v>No probado</v>
      </c>
    </row>
    <row r="643" spans="7:7" x14ac:dyDescent="0.35">
      <c r="G643" s="2" t="str">
        <f>IFERROR(VLOOKUP(B643, SOE!F:G, 2, FALSE), "No probado")</f>
        <v>No probado</v>
      </c>
    </row>
    <row r="644" spans="7:7" x14ac:dyDescent="0.35">
      <c r="G644" s="2" t="str">
        <f>IFERROR(VLOOKUP(B644, SOE!F:G, 2, FALSE), "No probado")</f>
        <v>No probado</v>
      </c>
    </row>
    <row r="645" spans="7:7" x14ac:dyDescent="0.35">
      <c r="G645" s="2" t="str">
        <f>IFERROR(VLOOKUP(B645, SOE!F:G, 2, FALSE), "No probado")</f>
        <v>No probado</v>
      </c>
    </row>
    <row r="646" spans="7:7" x14ac:dyDescent="0.35">
      <c r="G646" s="2" t="str">
        <f>IFERROR(VLOOKUP(B646, SOE!F:G, 2, FALSE), "No probado")</f>
        <v>No probado</v>
      </c>
    </row>
    <row r="647" spans="7:7" x14ac:dyDescent="0.35">
      <c r="G647" s="2" t="str">
        <f>IFERROR(VLOOKUP(B647, SOE!F:G, 2, FALSE), "No probado")</f>
        <v>No probado</v>
      </c>
    </row>
    <row r="648" spans="7:7" x14ac:dyDescent="0.35">
      <c r="G648" s="2" t="str">
        <f>IFERROR(VLOOKUP(B648, SOE!F:G, 2, FALSE), "No probado")</f>
        <v>No probado</v>
      </c>
    </row>
    <row r="649" spans="7:7" x14ac:dyDescent="0.35">
      <c r="G649" s="2" t="str">
        <f>IFERROR(VLOOKUP(B649, SOE!F:G, 2, FALSE), "No probado")</f>
        <v>No probado</v>
      </c>
    </row>
    <row r="650" spans="7:7" x14ac:dyDescent="0.35">
      <c r="G650" s="2" t="str">
        <f>IFERROR(VLOOKUP(B650, SOE!F:G, 2, FALSE), "No probado")</f>
        <v>No probado</v>
      </c>
    </row>
    <row r="651" spans="7:7" x14ac:dyDescent="0.35">
      <c r="G651" s="2" t="str">
        <f>IFERROR(VLOOKUP(B651, SOE!F:G, 2, FALSE), "No probado")</f>
        <v>No probado</v>
      </c>
    </row>
    <row r="652" spans="7:7" x14ac:dyDescent="0.35">
      <c r="G652" s="2" t="str">
        <f>IFERROR(VLOOKUP(B652, SOE!F:G, 2, FALSE), "No probado")</f>
        <v>No probado</v>
      </c>
    </row>
    <row r="653" spans="7:7" x14ac:dyDescent="0.35">
      <c r="G653" s="2" t="str">
        <f>IFERROR(VLOOKUP(B653, SOE!F:G, 2, FALSE), "No probado")</f>
        <v>No probado</v>
      </c>
    </row>
    <row r="654" spans="7:7" x14ac:dyDescent="0.35">
      <c r="G654" s="2" t="str">
        <f>IFERROR(VLOOKUP(B654, SOE!F:G, 2, FALSE), "No probado")</f>
        <v>No probado</v>
      </c>
    </row>
    <row r="655" spans="7:7" x14ac:dyDescent="0.35">
      <c r="G655" s="2" t="str">
        <f>IFERROR(VLOOKUP(B655, SOE!F:G, 2, FALSE), "No probado")</f>
        <v>No probado</v>
      </c>
    </row>
    <row r="656" spans="7:7" x14ac:dyDescent="0.35">
      <c r="G656" s="2" t="str">
        <f>IFERROR(VLOOKUP(B656, SOE!F:G, 2, FALSE), "No probado")</f>
        <v>No probado</v>
      </c>
    </row>
    <row r="657" spans="7:7" x14ac:dyDescent="0.35">
      <c r="G657" s="2" t="str">
        <f>IFERROR(VLOOKUP(B657, SOE!F:G, 2, FALSE), "No probado")</f>
        <v>No probado</v>
      </c>
    </row>
    <row r="658" spans="7:7" x14ac:dyDescent="0.35">
      <c r="G658" s="2" t="str">
        <f>IFERROR(VLOOKUP(B658, SOE!F:G, 2, FALSE), "No probado")</f>
        <v>No probado</v>
      </c>
    </row>
    <row r="659" spans="7:7" x14ac:dyDescent="0.35">
      <c r="G659" s="2" t="str">
        <f>IFERROR(VLOOKUP(B659, SOE!F:G, 2, FALSE), "No probado")</f>
        <v>No probado</v>
      </c>
    </row>
    <row r="660" spans="7:7" x14ac:dyDescent="0.35">
      <c r="G660" s="2" t="str">
        <f>IFERROR(VLOOKUP(B660, SOE!F:G, 2, FALSE), "No probado")</f>
        <v>No probado</v>
      </c>
    </row>
    <row r="661" spans="7:7" x14ac:dyDescent="0.35">
      <c r="G661" s="2" t="str">
        <f>IFERROR(VLOOKUP(B661, SOE!F:G, 2, FALSE), "No probado")</f>
        <v>No probado</v>
      </c>
    </row>
    <row r="662" spans="7:7" x14ac:dyDescent="0.35">
      <c r="G662" s="2" t="str">
        <f>IFERROR(VLOOKUP(B662, SOE!F:G, 2, FALSE), "No probado")</f>
        <v>No probado</v>
      </c>
    </row>
    <row r="663" spans="7:7" x14ac:dyDescent="0.35">
      <c r="G663" s="2" t="str">
        <f>IFERROR(VLOOKUP(B663, SOE!F:G, 2, FALSE), "No probado")</f>
        <v>No probado</v>
      </c>
    </row>
    <row r="664" spans="7:7" x14ac:dyDescent="0.35">
      <c r="G664" s="2" t="str">
        <f>IFERROR(VLOOKUP(B664, SOE!F:G, 2, FALSE), "No probado")</f>
        <v>No probado</v>
      </c>
    </row>
    <row r="665" spans="7:7" x14ac:dyDescent="0.35">
      <c r="G665" s="2" t="str">
        <f>IFERROR(VLOOKUP(B665, SOE!F:G, 2, FALSE), "No probado")</f>
        <v>No probado</v>
      </c>
    </row>
    <row r="666" spans="7:7" x14ac:dyDescent="0.35">
      <c r="G666" s="2" t="str">
        <f>IFERROR(VLOOKUP(B666, SOE!F:G, 2, FALSE), "No probado")</f>
        <v>No probado</v>
      </c>
    </row>
    <row r="667" spans="7:7" x14ac:dyDescent="0.35">
      <c r="G667" s="2" t="str">
        <f>IFERROR(VLOOKUP(B667, SOE!F:G, 2, FALSE), "No probado")</f>
        <v>No probado</v>
      </c>
    </row>
    <row r="668" spans="7:7" x14ac:dyDescent="0.35">
      <c r="G668" s="2" t="str">
        <f>IFERROR(VLOOKUP(B668, SOE!F:G, 2, FALSE), "No probado")</f>
        <v>No probado</v>
      </c>
    </row>
    <row r="669" spans="7:7" x14ac:dyDescent="0.35">
      <c r="G669" s="2" t="str">
        <f>IFERROR(VLOOKUP(B669, SOE!F:G, 2, FALSE), "No probado")</f>
        <v>No probado</v>
      </c>
    </row>
    <row r="670" spans="7:7" x14ac:dyDescent="0.35">
      <c r="G670" s="2" t="str">
        <f>IFERROR(VLOOKUP(B670, SOE!F:G, 2, FALSE), "No probado")</f>
        <v>No probado</v>
      </c>
    </row>
    <row r="671" spans="7:7" x14ac:dyDescent="0.35">
      <c r="G671" s="2" t="str">
        <f>IFERROR(VLOOKUP(B671, SOE!F:G, 2, FALSE), "No probado")</f>
        <v>No probado</v>
      </c>
    </row>
    <row r="672" spans="7:7" x14ac:dyDescent="0.35">
      <c r="G672" s="2" t="str">
        <f>IFERROR(VLOOKUP(B672, SOE!F:G, 2, FALSE), "No probado")</f>
        <v>No probado</v>
      </c>
    </row>
    <row r="673" spans="7:7" x14ac:dyDescent="0.35">
      <c r="G673" s="2" t="str">
        <f>IFERROR(VLOOKUP(B673, SOE!F:G, 2, FALSE), "No probado")</f>
        <v>No probado</v>
      </c>
    </row>
    <row r="674" spans="7:7" x14ac:dyDescent="0.35">
      <c r="G674" s="2" t="str">
        <f>IFERROR(VLOOKUP(B674, SOE!F:G, 2, FALSE), "No probado")</f>
        <v>No probado</v>
      </c>
    </row>
    <row r="675" spans="7:7" x14ac:dyDescent="0.35">
      <c r="G675" s="2" t="str">
        <f>IFERROR(VLOOKUP(B675, SOE!F:G, 2, FALSE), "No probado")</f>
        <v>No probado</v>
      </c>
    </row>
    <row r="676" spans="7:7" x14ac:dyDescent="0.35">
      <c r="G676" s="2" t="str">
        <f>IFERROR(VLOOKUP(B676, SOE!F:G, 2, FALSE), "No probado")</f>
        <v>No probado</v>
      </c>
    </row>
    <row r="677" spans="7:7" x14ac:dyDescent="0.35">
      <c r="G677" s="2" t="str">
        <f>IFERROR(VLOOKUP(B677, SOE!F:G, 2, FALSE), "No probado")</f>
        <v>No probado</v>
      </c>
    </row>
    <row r="678" spans="7:7" x14ac:dyDescent="0.35">
      <c r="G678" s="2" t="str">
        <f>IFERROR(VLOOKUP(B678, SOE!F:G, 2, FALSE), "No probado")</f>
        <v>No probado</v>
      </c>
    </row>
    <row r="679" spans="7:7" x14ac:dyDescent="0.35">
      <c r="G679" s="2" t="str">
        <f>IFERROR(VLOOKUP(B679, SOE!F:G, 2, FALSE), "No probado")</f>
        <v>No probado</v>
      </c>
    </row>
    <row r="680" spans="7:7" x14ac:dyDescent="0.35">
      <c r="G680" s="2" t="str">
        <f>IFERROR(VLOOKUP(B680, SOE!F:G, 2, FALSE), "No probado")</f>
        <v>No probado</v>
      </c>
    </row>
    <row r="681" spans="7:7" x14ac:dyDescent="0.35">
      <c r="G681" s="2" t="str">
        <f>IFERROR(VLOOKUP(B681, SOE!F:G, 2, FALSE), "No probado")</f>
        <v>No probado</v>
      </c>
    </row>
    <row r="682" spans="7:7" x14ac:dyDescent="0.35">
      <c r="G682" s="2" t="str">
        <f>IFERROR(VLOOKUP(B682, SOE!F:G, 2, FALSE), "No probado")</f>
        <v>No probado</v>
      </c>
    </row>
    <row r="683" spans="7:7" x14ac:dyDescent="0.35">
      <c r="G683" s="2" t="str">
        <f>IFERROR(VLOOKUP(B683, SOE!F:G, 2, FALSE), "No probado")</f>
        <v>No probado</v>
      </c>
    </row>
    <row r="684" spans="7:7" x14ac:dyDescent="0.35">
      <c r="G684" s="2" t="str">
        <f>IFERROR(VLOOKUP(B684, SOE!F:G, 2, FALSE), "No probado")</f>
        <v>No probado</v>
      </c>
    </row>
    <row r="685" spans="7:7" x14ac:dyDescent="0.35">
      <c r="G685" s="2" t="str">
        <f>IFERROR(VLOOKUP(B685, SOE!F:G, 2, FALSE), "No probado")</f>
        <v>No probado</v>
      </c>
    </row>
    <row r="686" spans="7:7" x14ac:dyDescent="0.35">
      <c r="G686" s="2" t="str">
        <f>IFERROR(VLOOKUP(B686, SOE!F:G, 2, FALSE), "No probado")</f>
        <v>No probado</v>
      </c>
    </row>
    <row r="687" spans="7:7" x14ac:dyDescent="0.35">
      <c r="G687" s="2" t="str">
        <f>IFERROR(VLOOKUP(B687, SOE!F:G, 2, FALSE), "No probado")</f>
        <v>No probado</v>
      </c>
    </row>
    <row r="688" spans="7:7" x14ac:dyDescent="0.35">
      <c r="G688" s="2" t="str">
        <f>IFERROR(VLOOKUP(B688, SOE!F:G, 2, FALSE), "No probado")</f>
        <v>No probado</v>
      </c>
    </row>
    <row r="689" spans="7:7" x14ac:dyDescent="0.35">
      <c r="G689" s="2" t="str">
        <f>IFERROR(VLOOKUP(B689, SOE!F:G, 2, FALSE), "No probado")</f>
        <v>No probado</v>
      </c>
    </row>
    <row r="690" spans="7:7" x14ac:dyDescent="0.35">
      <c r="G690" s="2" t="str">
        <f>IFERROR(VLOOKUP(B690, SOE!F:G, 2, FALSE), "No probado")</f>
        <v>No probado</v>
      </c>
    </row>
    <row r="691" spans="7:7" x14ac:dyDescent="0.35">
      <c r="G691" s="2" t="str">
        <f>IFERROR(VLOOKUP(B691, SOE!F:G, 2, FALSE), "No probado")</f>
        <v>No probado</v>
      </c>
    </row>
    <row r="692" spans="7:7" x14ac:dyDescent="0.35">
      <c r="G692" s="2" t="str">
        <f>IFERROR(VLOOKUP(B692, SOE!F:G, 2, FALSE), "No probado")</f>
        <v>No probado</v>
      </c>
    </row>
    <row r="693" spans="7:7" x14ac:dyDescent="0.35">
      <c r="G693" s="2" t="str">
        <f>IFERROR(VLOOKUP(B693, SOE!F:G, 2, FALSE), "No probado")</f>
        <v>No probado</v>
      </c>
    </row>
    <row r="694" spans="7:7" x14ac:dyDescent="0.35">
      <c r="G694" s="2" t="str">
        <f>IFERROR(VLOOKUP(B694, SOE!F:G, 2, FALSE), "No probado")</f>
        <v>No probado</v>
      </c>
    </row>
    <row r="695" spans="7:7" x14ac:dyDescent="0.35">
      <c r="G695" s="2" t="str">
        <f>IFERROR(VLOOKUP(B695, SOE!F:G, 2, FALSE), "No probado")</f>
        <v>No probado</v>
      </c>
    </row>
    <row r="696" spans="7:7" x14ac:dyDescent="0.35">
      <c r="G696" s="2" t="str">
        <f>IFERROR(VLOOKUP(B696, SOE!F:G, 2, FALSE), "No probado")</f>
        <v>No probado</v>
      </c>
    </row>
    <row r="697" spans="7:7" x14ac:dyDescent="0.35">
      <c r="G697" s="2" t="str">
        <f>IFERROR(VLOOKUP(B697, SOE!F:G, 2, FALSE), "No probado")</f>
        <v>No probado</v>
      </c>
    </row>
    <row r="698" spans="7:7" x14ac:dyDescent="0.35">
      <c r="G698" s="2" t="str">
        <f>IFERROR(VLOOKUP(B698, SOE!F:G, 2, FALSE), "No probado")</f>
        <v>No probado</v>
      </c>
    </row>
    <row r="699" spans="7:7" x14ac:dyDescent="0.35">
      <c r="G699" s="2" t="str">
        <f>IFERROR(VLOOKUP(B699, SOE!F:G, 2, FALSE), "No probado")</f>
        <v>No probado</v>
      </c>
    </row>
    <row r="700" spans="7:7" x14ac:dyDescent="0.35">
      <c r="G700" s="2" t="str">
        <f>IFERROR(VLOOKUP(B700, SOE!F:G, 2, FALSE), "No probado")</f>
        <v>No probado</v>
      </c>
    </row>
    <row r="701" spans="7:7" x14ac:dyDescent="0.35">
      <c r="G701" s="2" t="str">
        <f>IFERROR(VLOOKUP(B701, SOE!F:G, 2, FALSE), "No probado")</f>
        <v>No probado</v>
      </c>
    </row>
    <row r="702" spans="7:7" x14ac:dyDescent="0.35">
      <c r="G702" s="2" t="str">
        <f>IFERROR(VLOOKUP(B702, SOE!F:G, 2, FALSE), "No probado")</f>
        <v>No probado</v>
      </c>
    </row>
    <row r="703" spans="7:7" x14ac:dyDescent="0.35">
      <c r="G703" s="2" t="str">
        <f>IFERROR(VLOOKUP(B703, SOE!F:G, 2, FALSE), "No probado")</f>
        <v>No probado</v>
      </c>
    </row>
    <row r="704" spans="7:7" x14ac:dyDescent="0.35">
      <c r="G704" s="2" t="str">
        <f>IFERROR(VLOOKUP(B704, SOE!F:G, 2, FALSE), "No probado")</f>
        <v>No probado</v>
      </c>
    </row>
    <row r="705" spans="7:7" x14ac:dyDescent="0.35">
      <c r="G705" s="2" t="str">
        <f>IFERROR(VLOOKUP(B705, SOE!F:G, 2, FALSE), "No probado")</f>
        <v>No probado</v>
      </c>
    </row>
    <row r="706" spans="7:7" x14ac:dyDescent="0.35">
      <c r="G706" s="2" t="str">
        <f>IFERROR(VLOOKUP(B706, SOE!F:G, 2, FALSE), "No probado")</f>
        <v>No probado</v>
      </c>
    </row>
    <row r="707" spans="7:7" x14ac:dyDescent="0.35">
      <c r="G707" s="2" t="str">
        <f>IFERROR(VLOOKUP(B707, SOE!F:G, 2, FALSE), "No probado")</f>
        <v>No probado</v>
      </c>
    </row>
    <row r="708" spans="7:7" x14ac:dyDescent="0.35">
      <c r="G708" s="2" t="str">
        <f>IFERROR(VLOOKUP(B708, SOE!F:G, 2, FALSE), "No probado")</f>
        <v>No probado</v>
      </c>
    </row>
    <row r="709" spans="7:7" x14ac:dyDescent="0.35">
      <c r="G709" s="2" t="str">
        <f>IFERROR(VLOOKUP(B709, SOE!F:G, 2, FALSE), "No probado")</f>
        <v>No probado</v>
      </c>
    </row>
    <row r="710" spans="7:7" x14ac:dyDescent="0.35">
      <c r="G710" s="2" t="str">
        <f>IFERROR(VLOOKUP(B710, SOE!F:G, 2, FALSE), "No probado")</f>
        <v>No probado</v>
      </c>
    </row>
    <row r="711" spans="7:7" x14ac:dyDescent="0.35">
      <c r="G711" s="2" t="str">
        <f>IFERROR(VLOOKUP(B711, SOE!F:G, 2, FALSE), "No probado")</f>
        <v>No probado</v>
      </c>
    </row>
    <row r="712" spans="7:7" x14ac:dyDescent="0.35">
      <c r="G712" s="2" t="str">
        <f>IFERROR(VLOOKUP(B712, SOE!F:G, 2, FALSE), "No probado")</f>
        <v>No probado</v>
      </c>
    </row>
    <row r="713" spans="7:7" x14ac:dyDescent="0.35">
      <c r="G713" s="2" t="str">
        <f>IFERROR(VLOOKUP(B713, SOE!F:G, 2, FALSE), "No probado")</f>
        <v>No probado</v>
      </c>
    </row>
    <row r="714" spans="7:7" x14ac:dyDescent="0.35">
      <c r="G714" s="2" t="str">
        <f>IFERROR(VLOOKUP(B714, SOE!F:G, 2, FALSE), "No probado")</f>
        <v>No probado</v>
      </c>
    </row>
    <row r="715" spans="7:7" x14ac:dyDescent="0.35">
      <c r="G715" s="2" t="str">
        <f>IFERROR(VLOOKUP(B715, SOE!F:G, 2, FALSE), "No probado")</f>
        <v>No probado</v>
      </c>
    </row>
    <row r="716" spans="7:7" x14ac:dyDescent="0.35">
      <c r="G716" s="2" t="str">
        <f>IFERROR(VLOOKUP(B716, SOE!F:G, 2, FALSE), "No probado")</f>
        <v>No probado</v>
      </c>
    </row>
    <row r="717" spans="7:7" x14ac:dyDescent="0.35">
      <c r="G717" s="2" t="str">
        <f>IFERROR(VLOOKUP(B717, SOE!F:G, 2, FALSE), "No probado")</f>
        <v>No probado</v>
      </c>
    </row>
    <row r="718" spans="7:7" x14ac:dyDescent="0.35">
      <c r="G718" s="2" t="str">
        <f>IFERROR(VLOOKUP(B718, SOE!F:G, 2, FALSE), "No probado")</f>
        <v>No probado</v>
      </c>
    </row>
    <row r="719" spans="7:7" x14ac:dyDescent="0.35">
      <c r="G719" s="2" t="str">
        <f>IFERROR(VLOOKUP(B719, SOE!F:G, 2, FALSE), "No probado")</f>
        <v>No probado</v>
      </c>
    </row>
    <row r="720" spans="7:7" x14ac:dyDescent="0.35">
      <c r="G720" s="2" t="str">
        <f>IFERROR(VLOOKUP(B720, SOE!F:G, 2, FALSE), "No probado")</f>
        <v>No probado</v>
      </c>
    </row>
    <row r="721" spans="7:7" x14ac:dyDescent="0.35">
      <c r="G721" s="2" t="str">
        <f>IFERROR(VLOOKUP(B721, SOE!F:G, 2, FALSE), "No probado")</f>
        <v>No probado</v>
      </c>
    </row>
    <row r="722" spans="7:7" x14ac:dyDescent="0.35">
      <c r="G722" s="2" t="str">
        <f>IFERROR(VLOOKUP(B722, SOE!F:G, 2, FALSE), "No probado")</f>
        <v>No probado</v>
      </c>
    </row>
    <row r="723" spans="7:7" x14ac:dyDescent="0.35">
      <c r="G723" s="2" t="str">
        <f>IFERROR(VLOOKUP(B723, SOE!F:G, 2, FALSE), "No probado")</f>
        <v>No probado</v>
      </c>
    </row>
    <row r="724" spans="7:7" x14ac:dyDescent="0.35">
      <c r="G724" s="2" t="str">
        <f>IFERROR(VLOOKUP(B724, SOE!F:G, 2, FALSE), "No probado")</f>
        <v>No probado</v>
      </c>
    </row>
    <row r="725" spans="7:7" x14ac:dyDescent="0.35">
      <c r="G725" s="2" t="str">
        <f>IFERROR(VLOOKUP(B725, SOE!F:G, 2, FALSE), "No probado")</f>
        <v>No probado</v>
      </c>
    </row>
    <row r="726" spans="7:7" x14ac:dyDescent="0.35">
      <c r="G726" s="2" t="str">
        <f>IFERROR(VLOOKUP(B726, SOE!F:G, 2, FALSE), "No probado")</f>
        <v>No probado</v>
      </c>
    </row>
    <row r="727" spans="7:7" x14ac:dyDescent="0.35">
      <c r="G727" s="2" t="str">
        <f>IFERROR(VLOOKUP(B727, SOE!F:G, 2, FALSE), "No probado")</f>
        <v>No probado</v>
      </c>
    </row>
    <row r="728" spans="7:7" x14ac:dyDescent="0.35">
      <c r="G728" s="2" t="str">
        <f>IFERROR(VLOOKUP(B728, SOE!F:G, 2, FALSE), "No probado")</f>
        <v>No probado</v>
      </c>
    </row>
    <row r="729" spans="7:7" x14ac:dyDescent="0.35">
      <c r="G729" s="2" t="str">
        <f>IFERROR(VLOOKUP(B729, SOE!F:G, 2, FALSE), "No probado")</f>
        <v>No probado</v>
      </c>
    </row>
    <row r="730" spans="7:7" x14ac:dyDescent="0.35">
      <c r="G730" s="2" t="str">
        <f>IFERROR(VLOOKUP(B730, SOE!F:G, 2, FALSE), "No probado")</f>
        <v>No probado</v>
      </c>
    </row>
    <row r="731" spans="7:7" x14ac:dyDescent="0.35">
      <c r="G731" s="2" t="str">
        <f>IFERROR(VLOOKUP(B731, SOE!F:G, 2, FALSE), "No probado")</f>
        <v>No probado</v>
      </c>
    </row>
    <row r="732" spans="7:7" x14ac:dyDescent="0.35">
      <c r="G732" s="2" t="str">
        <f>IFERROR(VLOOKUP(B732, SOE!F:G, 2, FALSE), "No probado")</f>
        <v>No probado</v>
      </c>
    </row>
    <row r="733" spans="7:7" x14ac:dyDescent="0.35">
      <c r="G733" s="2" t="str">
        <f>IFERROR(VLOOKUP(B733, SOE!F:G, 2, FALSE), "No probado")</f>
        <v>No probado</v>
      </c>
    </row>
    <row r="734" spans="7:7" x14ac:dyDescent="0.35">
      <c r="G734" s="2" t="str">
        <f>IFERROR(VLOOKUP(B734, SOE!F:G, 2, FALSE), "No probado")</f>
        <v>No probado</v>
      </c>
    </row>
    <row r="735" spans="7:7" x14ac:dyDescent="0.35">
      <c r="G735" s="2" t="str">
        <f>IFERROR(VLOOKUP(B735, SOE!F:G, 2, FALSE), "No probado")</f>
        <v>No probado</v>
      </c>
    </row>
    <row r="736" spans="7:7" x14ac:dyDescent="0.35">
      <c r="G736" s="2" t="str">
        <f>IFERROR(VLOOKUP(B736, SOE!F:G, 2, FALSE), "No probado")</f>
        <v>No probado</v>
      </c>
    </row>
    <row r="737" spans="7:7" x14ac:dyDescent="0.35">
      <c r="G737" s="2" t="str">
        <f>IFERROR(VLOOKUP(B737, SOE!F:G, 2, FALSE), "No probado")</f>
        <v>No probado</v>
      </c>
    </row>
    <row r="738" spans="7:7" x14ac:dyDescent="0.35">
      <c r="G738" s="2" t="str">
        <f>IFERROR(VLOOKUP(B738, SOE!F:G, 2, FALSE), "No probado")</f>
        <v>No probado</v>
      </c>
    </row>
    <row r="739" spans="7:7" x14ac:dyDescent="0.35">
      <c r="G739" s="2" t="str">
        <f>IFERROR(VLOOKUP(B739, SOE!F:G, 2, FALSE), "No probado")</f>
        <v>No probado</v>
      </c>
    </row>
    <row r="740" spans="7:7" x14ac:dyDescent="0.35">
      <c r="G740" s="2" t="str">
        <f>IFERROR(VLOOKUP(B740, SOE!F:G, 2, FALSE), "No probado")</f>
        <v>No probado</v>
      </c>
    </row>
    <row r="741" spans="7:7" x14ac:dyDescent="0.35">
      <c r="G741" s="2" t="str">
        <f>IFERROR(VLOOKUP(B741, SOE!F:G, 2, FALSE), "No probado")</f>
        <v>No probado</v>
      </c>
    </row>
    <row r="742" spans="7:7" x14ac:dyDescent="0.35">
      <c r="G742" s="2" t="str">
        <f>IFERROR(VLOOKUP(B742, SOE!F:G, 2, FALSE), "No probado")</f>
        <v>No probado</v>
      </c>
    </row>
    <row r="743" spans="7:7" x14ac:dyDescent="0.35">
      <c r="G743" s="2" t="str">
        <f>IFERROR(VLOOKUP(B743, SOE!F:G, 2, FALSE), "No probado")</f>
        <v>No probado</v>
      </c>
    </row>
    <row r="744" spans="7:7" x14ac:dyDescent="0.35">
      <c r="G744" s="2" t="str">
        <f>IFERROR(VLOOKUP(B744, SOE!F:G, 2, FALSE), "No probado")</f>
        <v>No probado</v>
      </c>
    </row>
    <row r="745" spans="7:7" x14ac:dyDescent="0.35">
      <c r="G745" s="2" t="str">
        <f>IFERROR(VLOOKUP(B745, SOE!F:G, 2, FALSE), "No probado")</f>
        <v>No probado</v>
      </c>
    </row>
    <row r="746" spans="7:7" x14ac:dyDescent="0.35">
      <c r="G746" s="2" t="str">
        <f>IFERROR(VLOOKUP(B746, SOE!F:G, 2, FALSE), "No probado")</f>
        <v>No probado</v>
      </c>
    </row>
    <row r="747" spans="7:7" x14ac:dyDescent="0.35">
      <c r="G747" s="2" t="str">
        <f>IFERROR(VLOOKUP(B747, SOE!F:G, 2, FALSE), "No probado")</f>
        <v>No probado</v>
      </c>
    </row>
    <row r="748" spans="7:7" x14ac:dyDescent="0.35">
      <c r="G748" s="2" t="str">
        <f>IFERROR(VLOOKUP(B748, SOE!F:G, 2, FALSE), "No probado")</f>
        <v>No probado</v>
      </c>
    </row>
    <row r="749" spans="7:7" x14ac:dyDescent="0.35">
      <c r="G749" s="2" t="str">
        <f>IFERROR(VLOOKUP(B749, SOE!F:G, 2, FALSE), "No probado")</f>
        <v>No probado</v>
      </c>
    </row>
    <row r="750" spans="7:7" x14ac:dyDescent="0.35">
      <c r="G750" s="2" t="str">
        <f>IFERROR(VLOOKUP(B750, SOE!F:G, 2, FALSE), "No probado")</f>
        <v>No probado</v>
      </c>
    </row>
    <row r="751" spans="7:7" x14ac:dyDescent="0.35">
      <c r="G751" s="2" t="str">
        <f>IFERROR(VLOOKUP(B751, SOE!F:G, 2, FALSE), "No probado")</f>
        <v>No probado</v>
      </c>
    </row>
    <row r="752" spans="7:7" x14ac:dyDescent="0.35">
      <c r="G752" s="2" t="str">
        <f>IFERROR(VLOOKUP(B752, SOE!F:G, 2, FALSE), "No probado")</f>
        <v>No probado</v>
      </c>
    </row>
    <row r="753" spans="7:7" x14ac:dyDescent="0.35">
      <c r="G753" s="2" t="str">
        <f>IFERROR(VLOOKUP(B753, SOE!F:G, 2, FALSE), "No probado")</f>
        <v>No probado</v>
      </c>
    </row>
    <row r="754" spans="7:7" x14ac:dyDescent="0.35">
      <c r="G754" s="2" t="str">
        <f>IFERROR(VLOOKUP(B754, SOE!F:G, 2, FALSE), "No probado")</f>
        <v>No probado</v>
      </c>
    </row>
    <row r="755" spans="7:7" x14ac:dyDescent="0.35">
      <c r="G755" s="2" t="str">
        <f>IFERROR(VLOOKUP(B755, SOE!F:G, 2, FALSE), "No probado")</f>
        <v>No probado</v>
      </c>
    </row>
    <row r="756" spans="7:7" x14ac:dyDescent="0.35">
      <c r="G756" s="2" t="str">
        <f>IFERROR(VLOOKUP(B756, SOE!F:G, 2, FALSE), "No probado")</f>
        <v>No probado</v>
      </c>
    </row>
    <row r="757" spans="7:7" x14ac:dyDescent="0.35">
      <c r="G757" s="2" t="str">
        <f>IFERROR(VLOOKUP(B757, SOE!F:G, 2, FALSE), "No probado")</f>
        <v>No probado</v>
      </c>
    </row>
    <row r="758" spans="7:7" x14ac:dyDescent="0.35">
      <c r="G758" s="2" t="str">
        <f>IFERROR(VLOOKUP(B758, SOE!F:G, 2, FALSE), "No probado")</f>
        <v>No probado</v>
      </c>
    </row>
    <row r="759" spans="7:7" x14ac:dyDescent="0.35">
      <c r="G759" s="2" t="str">
        <f>IFERROR(VLOOKUP(B759, SOE!F:G, 2, FALSE), "No probado")</f>
        <v>No probado</v>
      </c>
    </row>
    <row r="760" spans="7:7" x14ac:dyDescent="0.35">
      <c r="G760" s="2" t="str">
        <f>IFERROR(VLOOKUP(B760, SOE!F:G, 2, FALSE), "No probado")</f>
        <v>No probado</v>
      </c>
    </row>
    <row r="761" spans="7:7" x14ac:dyDescent="0.35">
      <c r="G761" s="2" t="str">
        <f>IFERROR(VLOOKUP(B761, SOE!F:G, 2, FALSE), "No probado")</f>
        <v>No probado</v>
      </c>
    </row>
    <row r="762" spans="7:7" x14ac:dyDescent="0.35">
      <c r="G762" s="2" t="str">
        <f>IFERROR(VLOOKUP(B762, SOE!F:G, 2, FALSE), "No probado")</f>
        <v>No probado</v>
      </c>
    </row>
    <row r="763" spans="7:7" x14ac:dyDescent="0.35">
      <c r="G763" s="2" t="str">
        <f>IFERROR(VLOOKUP(B763, SOE!F:G, 2, FALSE), "No probado")</f>
        <v>No probado</v>
      </c>
    </row>
    <row r="764" spans="7:7" x14ac:dyDescent="0.35">
      <c r="G764" s="2" t="str">
        <f>IFERROR(VLOOKUP(B764, SOE!F:G, 2, FALSE), "No probado")</f>
        <v>No probado</v>
      </c>
    </row>
    <row r="765" spans="7:7" x14ac:dyDescent="0.35">
      <c r="G765" s="2" t="str">
        <f>IFERROR(VLOOKUP(B765, SOE!F:G, 2, FALSE), "No probado")</f>
        <v>No probado</v>
      </c>
    </row>
    <row r="766" spans="7:7" x14ac:dyDescent="0.35">
      <c r="G766" s="2" t="str">
        <f>IFERROR(VLOOKUP(B766, SOE!F:G, 2, FALSE), "No probado")</f>
        <v>No probado</v>
      </c>
    </row>
    <row r="767" spans="7:7" x14ac:dyDescent="0.35">
      <c r="G767" s="2" t="str">
        <f>IFERROR(VLOOKUP(B767, SOE!F:G, 2, FALSE), "No probado")</f>
        <v>No probado</v>
      </c>
    </row>
    <row r="768" spans="7:7" x14ac:dyDescent="0.35">
      <c r="G768" s="2" t="str">
        <f>IFERROR(VLOOKUP(B768, SOE!F:G, 2, FALSE), "No probado")</f>
        <v>No probado</v>
      </c>
    </row>
    <row r="769" spans="7:7" x14ac:dyDescent="0.35">
      <c r="G769" s="2" t="str">
        <f>IFERROR(VLOOKUP(B769, SOE!F:G, 2, FALSE), "No probado")</f>
        <v>No probado</v>
      </c>
    </row>
    <row r="770" spans="7:7" x14ac:dyDescent="0.35">
      <c r="G770" s="2" t="str">
        <f>IFERROR(VLOOKUP(B770, SOE!F:G, 2, FALSE), "No probado")</f>
        <v>No probado</v>
      </c>
    </row>
    <row r="771" spans="7:7" x14ac:dyDescent="0.35">
      <c r="G771" s="2" t="str">
        <f>IFERROR(VLOOKUP(B771, SOE!F:G, 2, FALSE), "No probado")</f>
        <v>No probado</v>
      </c>
    </row>
    <row r="772" spans="7:7" x14ac:dyDescent="0.35">
      <c r="G772" s="2" t="str">
        <f>IFERROR(VLOOKUP(B772, SOE!F:G, 2, FALSE), "No probado")</f>
        <v>No probado</v>
      </c>
    </row>
    <row r="773" spans="7:7" x14ac:dyDescent="0.35">
      <c r="G773" s="2" t="str">
        <f>IFERROR(VLOOKUP(B773, SOE!F:G, 2, FALSE), "No probado")</f>
        <v>No probado</v>
      </c>
    </row>
    <row r="774" spans="7:7" x14ac:dyDescent="0.35">
      <c r="G774" s="2" t="str">
        <f>IFERROR(VLOOKUP(B774, SOE!F:G, 2, FALSE), "No probado")</f>
        <v>No probado</v>
      </c>
    </row>
    <row r="775" spans="7:7" x14ac:dyDescent="0.35">
      <c r="G775" s="2" t="str">
        <f>IFERROR(VLOOKUP(B775, SOE!F:G, 2, FALSE), "No probado")</f>
        <v>No probado</v>
      </c>
    </row>
    <row r="776" spans="7:7" x14ac:dyDescent="0.35">
      <c r="G776" s="2" t="str">
        <f>IFERROR(VLOOKUP(B776, SOE!F:G, 2, FALSE), "No probado")</f>
        <v>No probado</v>
      </c>
    </row>
    <row r="777" spans="7:7" x14ac:dyDescent="0.35">
      <c r="G777" s="2" t="str">
        <f>IFERROR(VLOOKUP(B777, SOE!F:G, 2, FALSE), "No probado")</f>
        <v>No probado</v>
      </c>
    </row>
    <row r="778" spans="7:7" x14ac:dyDescent="0.35">
      <c r="G778" s="2" t="str">
        <f>IFERROR(VLOOKUP(B778, SOE!F:G, 2, FALSE), "No probado")</f>
        <v>No probado</v>
      </c>
    </row>
    <row r="779" spans="7:7" x14ac:dyDescent="0.35">
      <c r="G779" s="2" t="str">
        <f>IFERROR(VLOOKUP(B779, SOE!F:G, 2, FALSE), "No probado")</f>
        <v>No probado</v>
      </c>
    </row>
    <row r="780" spans="7:7" x14ac:dyDescent="0.35">
      <c r="G780" s="2" t="str">
        <f>IFERROR(VLOOKUP(B780, SOE!F:G, 2, FALSE), "No probado")</f>
        <v>No probado</v>
      </c>
    </row>
    <row r="781" spans="7:7" x14ac:dyDescent="0.35">
      <c r="G781" s="2" t="str">
        <f>IFERROR(VLOOKUP(B781, SOE!F:G, 2, FALSE), "No probado")</f>
        <v>No probado</v>
      </c>
    </row>
    <row r="782" spans="7:7" x14ac:dyDescent="0.35">
      <c r="G782" s="2" t="str">
        <f>IFERROR(VLOOKUP(B782, SOE!F:G, 2, FALSE), "No probado")</f>
        <v>No probado</v>
      </c>
    </row>
    <row r="783" spans="7:7" x14ac:dyDescent="0.35">
      <c r="G783" s="2" t="str">
        <f>IFERROR(VLOOKUP(B783, SOE!F:G, 2, FALSE), "No probado")</f>
        <v>No probado</v>
      </c>
    </row>
    <row r="784" spans="7:7" x14ac:dyDescent="0.35">
      <c r="G784" s="2" t="str">
        <f>IFERROR(VLOOKUP(B784, SOE!F:G, 2, FALSE), "No probado")</f>
        <v>No probado</v>
      </c>
    </row>
    <row r="785" spans="7:7" x14ac:dyDescent="0.35">
      <c r="G785" s="2" t="str">
        <f>IFERROR(VLOOKUP(B785, SOE!F:G, 2, FALSE), "No probado")</f>
        <v>No probado</v>
      </c>
    </row>
    <row r="786" spans="7:7" x14ac:dyDescent="0.35">
      <c r="G786" s="2" t="str">
        <f>IFERROR(VLOOKUP(B786, SOE!F:G, 2, FALSE), "No probado")</f>
        <v>No probado</v>
      </c>
    </row>
    <row r="787" spans="7:7" x14ac:dyDescent="0.35">
      <c r="G787" s="2" t="str">
        <f>IFERROR(VLOOKUP(B787, SOE!F:G, 2, FALSE), "No probado")</f>
        <v>No probado</v>
      </c>
    </row>
    <row r="788" spans="7:7" x14ac:dyDescent="0.35">
      <c r="G788" s="2" t="str">
        <f>IFERROR(VLOOKUP(B788, SOE!F:G, 2, FALSE), "No probado")</f>
        <v>No probado</v>
      </c>
    </row>
    <row r="789" spans="7:7" x14ac:dyDescent="0.35">
      <c r="G789" s="2" t="str">
        <f>IFERROR(VLOOKUP(B789, SOE!F:G, 2, FALSE), "No probado")</f>
        <v>No probado</v>
      </c>
    </row>
    <row r="790" spans="7:7" x14ac:dyDescent="0.35">
      <c r="G790" s="2" t="str">
        <f>IFERROR(VLOOKUP(B790, SOE!F:G, 2, FALSE), "No probado")</f>
        <v>No probado</v>
      </c>
    </row>
    <row r="791" spans="7:7" x14ac:dyDescent="0.35">
      <c r="G791" s="2" t="str">
        <f>IFERROR(VLOOKUP(B791, SOE!F:G, 2, FALSE), "No probado")</f>
        <v>No probado</v>
      </c>
    </row>
    <row r="792" spans="7:7" x14ac:dyDescent="0.35">
      <c r="G792" s="2" t="str">
        <f>IFERROR(VLOOKUP(B792, SOE!F:G, 2, FALSE), "No probado")</f>
        <v>No probado</v>
      </c>
    </row>
    <row r="793" spans="7:7" x14ac:dyDescent="0.35">
      <c r="G793" s="2" t="str">
        <f>IFERROR(VLOOKUP(B793, SOE!F:G, 2, FALSE), "No probado")</f>
        <v>No probado</v>
      </c>
    </row>
    <row r="794" spans="7:7" x14ac:dyDescent="0.35">
      <c r="G794" s="2" t="str">
        <f>IFERROR(VLOOKUP(B794, SOE!F:G, 2, FALSE), "No probado")</f>
        <v>No probado</v>
      </c>
    </row>
    <row r="795" spans="7:7" x14ac:dyDescent="0.35">
      <c r="G795" s="2" t="str">
        <f>IFERROR(VLOOKUP(B795, SOE!F:G, 2, FALSE), "No probado")</f>
        <v>No probado</v>
      </c>
    </row>
    <row r="796" spans="7:7" x14ac:dyDescent="0.35">
      <c r="G796" s="2" t="str">
        <f>IFERROR(VLOOKUP(B796, SOE!F:G, 2, FALSE), "No probado")</f>
        <v>No probado</v>
      </c>
    </row>
    <row r="797" spans="7:7" x14ac:dyDescent="0.35">
      <c r="G797" s="2" t="str">
        <f>IFERROR(VLOOKUP(B797, SOE!F:G, 2, FALSE), "No probado")</f>
        <v>No probado</v>
      </c>
    </row>
    <row r="798" spans="7:7" x14ac:dyDescent="0.35">
      <c r="G798" s="2" t="str">
        <f>IFERROR(VLOOKUP(B798, SOE!F:G, 2, FALSE), "No probado")</f>
        <v>No probado</v>
      </c>
    </row>
    <row r="799" spans="7:7" x14ac:dyDescent="0.35">
      <c r="G799" s="2" t="str">
        <f>IFERROR(VLOOKUP(B799, SOE!F:G, 2, FALSE), "No probado")</f>
        <v>No probado</v>
      </c>
    </row>
    <row r="800" spans="7:7" x14ac:dyDescent="0.35">
      <c r="G800" s="2" t="str">
        <f>IFERROR(VLOOKUP(B800, SOE!F:G, 2, FALSE), "No probado")</f>
        <v>No probado</v>
      </c>
    </row>
    <row r="801" spans="7:7" x14ac:dyDescent="0.35">
      <c r="G801" s="2" t="str">
        <f>IFERROR(VLOOKUP(B801, SOE!F:G, 2, FALSE), "No probado")</f>
        <v>No probado</v>
      </c>
    </row>
    <row r="802" spans="7:7" x14ac:dyDescent="0.35">
      <c r="G802" s="2" t="str">
        <f>IFERROR(VLOOKUP(B802, SOE!F:G, 2, FALSE), "No probado")</f>
        <v>No probado</v>
      </c>
    </row>
    <row r="803" spans="7:7" x14ac:dyDescent="0.35">
      <c r="G803" s="2" t="str">
        <f>IFERROR(VLOOKUP(B803, SOE!F:G, 2, FALSE), "No probado")</f>
        <v>No probado</v>
      </c>
    </row>
    <row r="804" spans="7:7" x14ac:dyDescent="0.35">
      <c r="G804" s="2" t="str">
        <f>IFERROR(VLOOKUP(B804, SOE!F:G, 2, FALSE), "No probado")</f>
        <v>No probado</v>
      </c>
    </row>
    <row r="805" spans="7:7" x14ac:dyDescent="0.35">
      <c r="G805" s="2" t="str">
        <f>IFERROR(VLOOKUP(B805, SOE!F:G, 2, FALSE), "No probado")</f>
        <v>No probado</v>
      </c>
    </row>
    <row r="806" spans="7:7" x14ac:dyDescent="0.35">
      <c r="G806" s="2" t="str">
        <f>IFERROR(VLOOKUP(B806, SOE!F:G, 2, FALSE), "No probado")</f>
        <v>No probado</v>
      </c>
    </row>
    <row r="807" spans="7:7" x14ac:dyDescent="0.35">
      <c r="G807" s="2" t="str">
        <f>IFERROR(VLOOKUP(B807, SOE!F:G, 2, FALSE), "No probado")</f>
        <v>No probado</v>
      </c>
    </row>
    <row r="808" spans="7:7" x14ac:dyDescent="0.35">
      <c r="G808" s="2" t="str">
        <f>IFERROR(VLOOKUP(B808, SOE!F:G, 2, FALSE), "No probado")</f>
        <v>No probado</v>
      </c>
    </row>
    <row r="809" spans="7:7" x14ac:dyDescent="0.35">
      <c r="G809" s="2" t="str">
        <f>IFERROR(VLOOKUP(B809, SOE!F:G, 2, FALSE), "No probado")</f>
        <v>No probado</v>
      </c>
    </row>
    <row r="810" spans="7:7" x14ac:dyDescent="0.35">
      <c r="G810" s="2" t="str">
        <f>IFERROR(VLOOKUP(B810, SOE!F:G, 2, FALSE), "No probado")</f>
        <v>No probado</v>
      </c>
    </row>
    <row r="811" spans="7:7" x14ac:dyDescent="0.35">
      <c r="G811" s="2" t="str">
        <f>IFERROR(VLOOKUP(B811, SOE!F:G, 2, FALSE), "No probado")</f>
        <v>No probado</v>
      </c>
    </row>
    <row r="812" spans="7:7" x14ac:dyDescent="0.35">
      <c r="G812" s="2" t="str">
        <f>IFERROR(VLOOKUP(B812, SOE!F:G, 2, FALSE), "No probado")</f>
        <v>No probado</v>
      </c>
    </row>
    <row r="813" spans="7:7" x14ac:dyDescent="0.35">
      <c r="G813" s="2" t="str">
        <f>IFERROR(VLOOKUP(B813, SOE!F:G, 2, FALSE), "No probado")</f>
        <v>No probado</v>
      </c>
    </row>
    <row r="814" spans="7:7" x14ac:dyDescent="0.35">
      <c r="G814" s="2" t="str">
        <f>IFERROR(VLOOKUP(B814, SOE!F:G, 2, FALSE), "No probado")</f>
        <v>No probado</v>
      </c>
    </row>
    <row r="815" spans="7:7" x14ac:dyDescent="0.35">
      <c r="G815" s="2" t="str">
        <f>IFERROR(VLOOKUP(B815, SOE!F:G, 2, FALSE), "No probado")</f>
        <v>No probado</v>
      </c>
    </row>
    <row r="816" spans="7:7" x14ac:dyDescent="0.35">
      <c r="G816" s="2" t="str">
        <f>IFERROR(VLOOKUP(B816, SOE!F:G, 2, FALSE), "No probado")</f>
        <v>No probado</v>
      </c>
    </row>
    <row r="817" spans="7:7" x14ac:dyDescent="0.35">
      <c r="G817" s="2" t="str">
        <f>IFERROR(VLOOKUP(B817, SOE!F:G, 2, FALSE), "No probado")</f>
        <v>No probado</v>
      </c>
    </row>
    <row r="818" spans="7:7" x14ac:dyDescent="0.35">
      <c r="G818" s="2" t="str">
        <f>IFERROR(VLOOKUP(B818, SOE!F:G, 2, FALSE), "No probado")</f>
        <v>No probado</v>
      </c>
    </row>
    <row r="819" spans="7:7" x14ac:dyDescent="0.35">
      <c r="G819" s="2" t="str">
        <f>IFERROR(VLOOKUP(B819, SOE!F:G, 2, FALSE), "No probado")</f>
        <v>No probado</v>
      </c>
    </row>
    <row r="820" spans="7:7" x14ac:dyDescent="0.35">
      <c r="G820" s="2" t="str">
        <f>IFERROR(VLOOKUP(B820, SOE!F:G, 2, FALSE), "No probado")</f>
        <v>No probado</v>
      </c>
    </row>
    <row r="821" spans="7:7" x14ac:dyDescent="0.35">
      <c r="G821" s="2" t="str">
        <f>IFERROR(VLOOKUP(B821, SOE!F:G, 2, FALSE), "No probado")</f>
        <v>No probado</v>
      </c>
    </row>
    <row r="822" spans="7:7" x14ac:dyDescent="0.35">
      <c r="G822" s="2" t="str">
        <f>IFERROR(VLOOKUP(B822, SOE!F:G, 2, FALSE), "No probado")</f>
        <v>No probado</v>
      </c>
    </row>
    <row r="823" spans="7:7" x14ac:dyDescent="0.35">
      <c r="G823" s="2" t="str">
        <f>IFERROR(VLOOKUP(B823, SOE!F:G, 2, FALSE), "No probado")</f>
        <v>No probado</v>
      </c>
    </row>
    <row r="824" spans="7:7" x14ac:dyDescent="0.35">
      <c r="G824" s="2" t="str">
        <f>IFERROR(VLOOKUP(B824, SOE!F:G, 2, FALSE), "No probado")</f>
        <v>No probado</v>
      </c>
    </row>
    <row r="825" spans="7:7" x14ac:dyDescent="0.35">
      <c r="G825" s="2" t="str">
        <f>IFERROR(VLOOKUP(B825, SOE!F:G, 2, FALSE), "No probado")</f>
        <v>No probado</v>
      </c>
    </row>
    <row r="826" spans="7:7" x14ac:dyDescent="0.35">
      <c r="G826" s="2" t="str">
        <f>IFERROR(VLOOKUP(B826, SOE!F:G, 2, FALSE), "No probado")</f>
        <v>No probado</v>
      </c>
    </row>
    <row r="827" spans="7:7" x14ac:dyDescent="0.35">
      <c r="G827" s="2" t="str">
        <f>IFERROR(VLOOKUP(B827, SOE!F:G, 2, FALSE), "No probado")</f>
        <v>No probado</v>
      </c>
    </row>
    <row r="828" spans="7:7" x14ac:dyDescent="0.35">
      <c r="G828" s="2" t="str">
        <f>IFERROR(VLOOKUP(B828, SOE!F:G, 2, FALSE), "No probado")</f>
        <v>No probado</v>
      </c>
    </row>
    <row r="829" spans="7:7" x14ac:dyDescent="0.35">
      <c r="G829" s="2" t="str">
        <f>IFERROR(VLOOKUP(B829, SOE!F:G, 2, FALSE), "No probado")</f>
        <v>No probado</v>
      </c>
    </row>
    <row r="830" spans="7:7" x14ac:dyDescent="0.35">
      <c r="G830" s="2" t="str">
        <f>IFERROR(VLOOKUP(B830, SOE!F:G, 2, FALSE), "No probado")</f>
        <v>No probado</v>
      </c>
    </row>
    <row r="831" spans="7:7" x14ac:dyDescent="0.35">
      <c r="G831" s="2" t="str">
        <f>IFERROR(VLOOKUP(B831, SOE!F:G, 2, FALSE), "No probado")</f>
        <v>No probado</v>
      </c>
    </row>
    <row r="832" spans="7:7" x14ac:dyDescent="0.35">
      <c r="G832" s="2" t="str">
        <f>IFERROR(VLOOKUP(B832, SOE!F:G, 2, FALSE), "No probado")</f>
        <v>No probado</v>
      </c>
    </row>
    <row r="833" spans="7:7" x14ac:dyDescent="0.35">
      <c r="G833" s="2" t="str">
        <f>IFERROR(VLOOKUP(B833, SOE!F:G, 2, FALSE), "No probado")</f>
        <v>No probado</v>
      </c>
    </row>
    <row r="834" spans="7:7" x14ac:dyDescent="0.35">
      <c r="G834" s="2" t="str">
        <f>IFERROR(VLOOKUP(B834, SOE!F:G, 2, FALSE), "No probado")</f>
        <v>No probado</v>
      </c>
    </row>
    <row r="835" spans="7:7" x14ac:dyDescent="0.35">
      <c r="G835" s="2" t="str">
        <f>IFERROR(VLOOKUP(B835, SOE!F:G, 2, FALSE), "No probado")</f>
        <v>No probado</v>
      </c>
    </row>
    <row r="836" spans="7:7" x14ac:dyDescent="0.35">
      <c r="G836" s="2" t="str">
        <f>IFERROR(VLOOKUP(B836, SOE!F:G, 2, FALSE), "No probado")</f>
        <v>No probado</v>
      </c>
    </row>
    <row r="837" spans="7:7" x14ac:dyDescent="0.35">
      <c r="G837" s="2" t="str">
        <f>IFERROR(VLOOKUP(B837, SOE!F:G, 2, FALSE), "No probado")</f>
        <v>No probado</v>
      </c>
    </row>
    <row r="838" spans="7:7" x14ac:dyDescent="0.35">
      <c r="G838" s="2" t="str">
        <f>IFERROR(VLOOKUP(B838, SOE!F:G, 2, FALSE), "No probado")</f>
        <v>No probado</v>
      </c>
    </row>
    <row r="839" spans="7:7" x14ac:dyDescent="0.35">
      <c r="G839" s="2" t="str">
        <f>IFERROR(VLOOKUP(B839, SOE!F:G, 2, FALSE), "No probado")</f>
        <v>No probado</v>
      </c>
    </row>
    <row r="840" spans="7:7" x14ac:dyDescent="0.35">
      <c r="G840" s="2" t="str">
        <f>IFERROR(VLOOKUP(B840, SOE!F:G, 2, FALSE), "No probado")</f>
        <v>No probado</v>
      </c>
    </row>
    <row r="841" spans="7:7" x14ac:dyDescent="0.35">
      <c r="G841" s="2" t="str">
        <f>IFERROR(VLOOKUP(B841, SOE!F:G, 2, FALSE), "No probado")</f>
        <v>No probado</v>
      </c>
    </row>
    <row r="842" spans="7:7" x14ac:dyDescent="0.35">
      <c r="G842" s="2" t="str">
        <f>IFERROR(VLOOKUP(B842, SOE!F:G, 2, FALSE), "No probado")</f>
        <v>No probado</v>
      </c>
    </row>
    <row r="843" spans="7:7" x14ac:dyDescent="0.35">
      <c r="G843" s="2" t="str">
        <f>IFERROR(VLOOKUP(B843, SOE!F:G, 2, FALSE), "No probado")</f>
        <v>No probado</v>
      </c>
    </row>
    <row r="844" spans="7:7" x14ac:dyDescent="0.35">
      <c r="G844" s="2" t="str">
        <f>IFERROR(VLOOKUP(B844, SOE!F:G, 2, FALSE), "No probado")</f>
        <v>No probado</v>
      </c>
    </row>
    <row r="845" spans="7:7" x14ac:dyDescent="0.35">
      <c r="G845" s="2" t="str">
        <f>IFERROR(VLOOKUP(B845, SOE!F:G, 2, FALSE), "No probado")</f>
        <v>No probado</v>
      </c>
    </row>
    <row r="846" spans="7:7" x14ac:dyDescent="0.35">
      <c r="G846" s="2" t="str">
        <f>IFERROR(VLOOKUP(B846, SOE!F:G, 2, FALSE), "No probado")</f>
        <v>No probado</v>
      </c>
    </row>
    <row r="847" spans="7:7" x14ac:dyDescent="0.35">
      <c r="G847" s="2" t="str">
        <f>IFERROR(VLOOKUP(B847, SOE!F:G, 2, FALSE), "No probado")</f>
        <v>No probado</v>
      </c>
    </row>
    <row r="848" spans="7:7" x14ac:dyDescent="0.35">
      <c r="G848" s="2" t="str">
        <f>IFERROR(VLOOKUP(B848, SOE!F:G, 2, FALSE), "No probado")</f>
        <v>No probado</v>
      </c>
    </row>
    <row r="849" spans="7:7" x14ac:dyDescent="0.35">
      <c r="G849" s="2" t="str">
        <f>IFERROR(VLOOKUP(B849, SOE!F:G, 2, FALSE), "No probado")</f>
        <v>No probado</v>
      </c>
    </row>
    <row r="850" spans="7:7" x14ac:dyDescent="0.35">
      <c r="G850" s="2" t="str">
        <f>IFERROR(VLOOKUP(B850, SOE!F:G, 2, FALSE), "No probado")</f>
        <v>No probado</v>
      </c>
    </row>
    <row r="851" spans="7:7" x14ac:dyDescent="0.35">
      <c r="G851" s="2" t="str">
        <f>IFERROR(VLOOKUP(B851, SOE!F:G, 2, FALSE), "No probado")</f>
        <v>No probado</v>
      </c>
    </row>
    <row r="852" spans="7:7" x14ac:dyDescent="0.35">
      <c r="G852" s="2" t="str">
        <f>IFERROR(VLOOKUP(B852, SOE!F:G, 2, FALSE), "No probado")</f>
        <v>No probado</v>
      </c>
    </row>
    <row r="853" spans="7:7" x14ac:dyDescent="0.35">
      <c r="G853" s="2" t="str">
        <f>IFERROR(VLOOKUP(B853, SOE!F:G, 2, FALSE), "No probado")</f>
        <v>No probado</v>
      </c>
    </row>
    <row r="854" spans="7:7" x14ac:dyDescent="0.35">
      <c r="G854" s="2" t="str">
        <f>IFERROR(VLOOKUP(B854, SOE!F:G, 2, FALSE), "No probado")</f>
        <v>No probado</v>
      </c>
    </row>
    <row r="855" spans="7:7" x14ac:dyDescent="0.35">
      <c r="G855" s="2" t="str">
        <f>IFERROR(VLOOKUP(B855, SOE!F:G, 2, FALSE), "No probado")</f>
        <v>No probado</v>
      </c>
    </row>
    <row r="856" spans="7:7" x14ac:dyDescent="0.35">
      <c r="G856" s="2" t="str">
        <f>IFERROR(VLOOKUP(B856, SOE!F:G, 2, FALSE), "No probado")</f>
        <v>No probado</v>
      </c>
    </row>
    <row r="857" spans="7:7" x14ac:dyDescent="0.35">
      <c r="G857" s="2" t="str">
        <f>IFERROR(VLOOKUP(B857, SOE!F:G, 2, FALSE), "No probado")</f>
        <v>No probado</v>
      </c>
    </row>
    <row r="858" spans="7:7" x14ac:dyDescent="0.35">
      <c r="G858" s="2" t="str">
        <f>IFERROR(VLOOKUP(B858, SOE!F:G, 2, FALSE), "No probado")</f>
        <v>No probado</v>
      </c>
    </row>
    <row r="859" spans="7:7" x14ac:dyDescent="0.35">
      <c r="G859" s="2" t="str">
        <f>IFERROR(VLOOKUP(B859, SOE!F:G, 2, FALSE), "No probado")</f>
        <v>No probado</v>
      </c>
    </row>
    <row r="860" spans="7:7" x14ac:dyDescent="0.35">
      <c r="G860" s="2" t="str">
        <f>IFERROR(VLOOKUP(B860, SOE!F:G, 2, FALSE), "No probado")</f>
        <v>No probado</v>
      </c>
    </row>
    <row r="861" spans="7:7" x14ac:dyDescent="0.35">
      <c r="G861" s="2" t="str">
        <f>IFERROR(VLOOKUP(B861, SOE!F:G, 2, FALSE), "No probado")</f>
        <v>No probado</v>
      </c>
    </row>
    <row r="862" spans="7:7" x14ac:dyDescent="0.35">
      <c r="G862" s="2" t="str">
        <f>IFERROR(VLOOKUP(B862, SOE!F:G, 2, FALSE), "No probado")</f>
        <v>No probado</v>
      </c>
    </row>
    <row r="863" spans="7:7" x14ac:dyDescent="0.35">
      <c r="G863" s="2" t="str">
        <f>IFERROR(VLOOKUP(B863, SOE!F:G, 2, FALSE), "No probado")</f>
        <v>No probado</v>
      </c>
    </row>
    <row r="864" spans="7:7" x14ac:dyDescent="0.35">
      <c r="G864" s="2" t="str">
        <f>IFERROR(VLOOKUP(B864, SOE!F:G, 2, FALSE), "No probado")</f>
        <v>No probado</v>
      </c>
    </row>
    <row r="865" spans="7:7" x14ac:dyDescent="0.35">
      <c r="G865" s="2" t="str">
        <f>IFERROR(VLOOKUP(B865, SOE!F:G, 2, FALSE), "No probado")</f>
        <v>No probado</v>
      </c>
    </row>
    <row r="866" spans="7:7" x14ac:dyDescent="0.35">
      <c r="G866" s="2" t="str">
        <f>IFERROR(VLOOKUP(B866, SOE!F:G, 2, FALSE), "No probado")</f>
        <v>No probado</v>
      </c>
    </row>
    <row r="867" spans="7:7" x14ac:dyDescent="0.35">
      <c r="G867" s="2" t="str">
        <f>IFERROR(VLOOKUP(B867, SOE!F:G, 2, FALSE), "No probado")</f>
        <v>No probado</v>
      </c>
    </row>
    <row r="868" spans="7:7" x14ac:dyDescent="0.35">
      <c r="G868" s="2" t="str">
        <f>IFERROR(VLOOKUP(B868, SOE!F:G, 2, FALSE), "No probado")</f>
        <v>No probado</v>
      </c>
    </row>
    <row r="869" spans="7:7" x14ac:dyDescent="0.35">
      <c r="G869" s="2" t="str">
        <f>IFERROR(VLOOKUP(B869, SOE!F:G, 2, FALSE), "No probado")</f>
        <v>No probado</v>
      </c>
    </row>
    <row r="870" spans="7:7" x14ac:dyDescent="0.35">
      <c r="G870" s="2" t="str">
        <f>IFERROR(VLOOKUP(B870, SOE!F:G, 2, FALSE), "No probado")</f>
        <v>No probado</v>
      </c>
    </row>
    <row r="871" spans="7:7" x14ac:dyDescent="0.35">
      <c r="G871" s="2" t="str">
        <f>IFERROR(VLOOKUP(B871, SOE!F:G, 2, FALSE), "No probado")</f>
        <v>No probado</v>
      </c>
    </row>
    <row r="872" spans="7:7" x14ac:dyDescent="0.35">
      <c r="G872" s="2" t="str">
        <f>IFERROR(VLOOKUP(B872, SOE!F:G, 2, FALSE), "No probado")</f>
        <v>No probado</v>
      </c>
    </row>
    <row r="873" spans="7:7" x14ac:dyDescent="0.35">
      <c r="G873" s="2" t="str">
        <f>IFERROR(VLOOKUP(B873, SOE!F:G, 2, FALSE), "No probado")</f>
        <v>No probado</v>
      </c>
    </row>
    <row r="874" spans="7:7" x14ac:dyDescent="0.35">
      <c r="G874" s="2" t="str">
        <f>IFERROR(VLOOKUP(B874, SOE!F:G, 2, FALSE), "No probado")</f>
        <v>No probado</v>
      </c>
    </row>
    <row r="875" spans="7:7" x14ac:dyDescent="0.35">
      <c r="G875" s="2" t="str">
        <f>IFERROR(VLOOKUP(B875, SOE!F:G, 2, FALSE), "No probado")</f>
        <v>No probado</v>
      </c>
    </row>
    <row r="876" spans="7:7" x14ac:dyDescent="0.35">
      <c r="G876" s="2" t="str">
        <f>IFERROR(VLOOKUP(B876, SOE!F:G, 2, FALSE), "No probado")</f>
        <v>No probado</v>
      </c>
    </row>
    <row r="877" spans="7:7" x14ac:dyDescent="0.35">
      <c r="G877" s="2" t="str">
        <f>IFERROR(VLOOKUP(B877, SOE!F:G, 2, FALSE), "No probado")</f>
        <v>No probado</v>
      </c>
    </row>
    <row r="878" spans="7:7" x14ac:dyDescent="0.35">
      <c r="G878" s="2" t="str">
        <f>IFERROR(VLOOKUP(B878, SOE!F:G, 2, FALSE), "No probado")</f>
        <v>No probado</v>
      </c>
    </row>
    <row r="879" spans="7:7" x14ac:dyDescent="0.35">
      <c r="G879" s="2" t="str">
        <f>IFERROR(VLOOKUP(B879, SOE!F:G, 2, FALSE), "No probado")</f>
        <v>No probado</v>
      </c>
    </row>
    <row r="880" spans="7:7" x14ac:dyDescent="0.35">
      <c r="G880" s="2" t="str">
        <f>IFERROR(VLOOKUP(B880, SOE!F:G, 2, FALSE), "No probado")</f>
        <v>No probado</v>
      </c>
    </row>
    <row r="881" spans="7:7" x14ac:dyDescent="0.35">
      <c r="G881" s="2" t="str">
        <f>IFERROR(VLOOKUP(B881, SOE!F:G, 2, FALSE), "No probado")</f>
        <v>No probado</v>
      </c>
    </row>
    <row r="882" spans="7:7" x14ac:dyDescent="0.35">
      <c r="G882" s="2" t="str">
        <f>IFERROR(VLOOKUP(B882, SOE!F:G, 2, FALSE), "No probado")</f>
        <v>No probado</v>
      </c>
    </row>
    <row r="883" spans="7:7" x14ac:dyDescent="0.35">
      <c r="G883" s="2" t="str">
        <f>IFERROR(VLOOKUP(B883, SOE!F:G, 2, FALSE), "No probado")</f>
        <v>No probado</v>
      </c>
    </row>
    <row r="884" spans="7:7" x14ac:dyDescent="0.35">
      <c r="G884" s="2" t="str">
        <f>IFERROR(VLOOKUP(B884, SOE!F:G, 2, FALSE), "No probado")</f>
        <v>No probado</v>
      </c>
    </row>
    <row r="885" spans="7:7" x14ac:dyDescent="0.35">
      <c r="G885" s="2" t="str">
        <f>IFERROR(VLOOKUP(B885, SOE!F:G, 2, FALSE), "No probado")</f>
        <v>No probado</v>
      </c>
    </row>
    <row r="886" spans="7:7" x14ac:dyDescent="0.35">
      <c r="G886" s="2" t="str">
        <f>IFERROR(VLOOKUP(B886, SOE!F:G, 2, FALSE), "No probado")</f>
        <v>No probado</v>
      </c>
    </row>
    <row r="887" spans="7:7" x14ac:dyDescent="0.35">
      <c r="G887" s="2" t="str">
        <f>IFERROR(VLOOKUP(B887, SOE!F:G, 2, FALSE), "No probado")</f>
        <v>No probado</v>
      </c>
    </row>
    <row r="888" spans="7:7" x14ac:dyDescent="0.35">
      <c r="G888" s="2" t="str">
        <f>IFERROR(VLOOKUP(B888, SOE!F:G, 2, FALSE), "No probado")</f>
        <v>No probado</v>
      </c>
    </row>
    <row r="889" spans="7:7" x14ac:dyDescent="0.35">
      <c r="G889" s="2" t="str">
        <f>IFERROR(VLOOKUP(B889, SOE!F:G, 2, FALSE), "No probado")</f>
        <v>No probado</v>
      </c>
    </row>
    <row r="890" spans="7:7" x14ac:dyDescent="0.35">
      <c r="G890" s="2" t="str">
        <f>IFERROR(VLOOKUP(B890, SOE!F:G, 2, FALSE), "No probado")</f>
        <v>No probado</v>
      </c>
    </row>
    <row r="891" spans="7:7" x14ac:dyDescent="0.35">
      <c r="G891" s="2" t="str">
        <f>IFERROR(VLOOKUP(B891, SOE!F:G, 2, FALSE), "No probado")</f>
        <v>No probado</v>
      </c>
    </row>
    <row r="892" spans="7:7" x14ac:dyDescent="0.35">
      <c r="G892" s="2" t="str">
        <f>IFERROR(VLOOKUP(B892, SOE!F:G, 2, FALSE), "No probado")</f>
        <v>No probado</v>
      </c>
    </row>
    <row r="893" spans="7:7" x14ac:dyDescent="0.35">
      <c r="G893" s="2" t="str">
        <f>IFERROR(VLOOKUP(B893, SOE!F:G, 2, FALSE), "No probado")</f>
        <v>No probado</v>
      </c>
    </row>
    <row r="894" spans="7:7" x14ac:dyDescent="0.35">
      <c r="G894" s="2" t="str">
        <f>IFERROR(VLOOKUP(B894, SOE!F:G, 2, FALSE), "No probado")</f>
        <v>No probado</v>
      </c>
    </row>
    <row r="895" spans="7:7" x14ac:dyDescent="0.35">
      <c r="G895" s="2" t="str">
        <f>IFERROR(VLOOKUP(B895, SOE!F:G, 2, FALSE), "No probado")</f>
        <v>No probado</v>
      </c>
    </row>
    <row r="896" spans="7:7" x14ac:dyDescent="0.35">
      <c r="G896" s="2" t="str">
        <f>IFERROR(VLOOKUP(B896, SOE!F:G, 2, FALSE), "No probado")</f>
        <v>No probado</v>
      </c>
    </row>
    <row r="897" spans="7:7" x14ac:dyDescent="0.35">
      <c r="G897" s="2" t="str">
        <f>IFERROR(VLOOKUP(B897, SOE!F:G, 2, FALSE), "No probado")</f>
        <v>No probado</v>
      </c>
    </row>
    <row r="898" spans="7:7" x14ac:dyDescent="0.35">
      <c r="G898" s="2" t="str">
        <f>IFERROR(VLOOKUP(B898, SOE!F:G, 2, FALSE), "No probado")</f>
        <v>No probado</v>
      </c>
    </row>
    <row r="899" spans="7:7" x14ac:dyDescent="0.35">
      <c r="G899" s="2" t="str">
        <f>IFERROR(VLOOKUP(B899, SOE!F:G, 2, FALSE), "No probado")</f>
        <v>No probado</v>
      </c>
    </row>
    <row r="900" spans="7:7" x14ac:dyDescent="0.35">
      <c r="G900" s="2" t="str">
        <f>IFERROR(VLOOKUP(B900, SOE!F:G, 2, FALSE), "No probado")</f>
        <v>No probado</v>
      </c>
    </row>
    <row r="901" spans="7:7" x14ac:dyDescent="0.35">
      <c r="G901" s="2" t="str">
        <f>IFERROR(VLOOKUP(B901, SOE!F:G, 2, FALSE), "No probado")</f>
        <v>No probado</v>
      </c>
    </row>
    <row r="902" spans="7:7" x14ac:dyDescent="0.35">
      <c r="G902" s="2" t="str">
        <f>IFERROR(VLOOKUP(B902, SOE!F:G, 2, FALSE), "No probado")</f>
        <v>No probado</v>
      </c>
    </row>
    <row r="903" spans="7:7" x14ac:dyDescent="0.35">
      <c r="G903" s="2" t="str">
        <f>IFERROR(VLOOKUP(B903, SOE!F:G, 2, FALSE), "No probado")</f>
        <v>No probado</v>
      </c>
    </row>
    <row r="904" spans="7:7" x14ac:dyDescent="0.35">
      <c r="G904" s="2" t="str">
        <f>IFERROR(VLOOKUP(B904, SOE!F:G, 2, FALSE), "No probado")</f>
        <v>No probado</v>
      </c>
    </row>
    <row r="905" spans="7:7" x14ac:dyDescent="0.35">
      <c r="G905" s="2" t="str">
        <f>IFERROR(VLOOKUP(B905, SOE!F:G, 2, FALSE), "No probado")</f>
        <v>No probado</v>
      </c>
    </row>
    <row r="906" spans="7:7" x14ac:dyDescent="0.35">
      <c r="G906" s="2" t="str">
        <f>IFERROR(VLOOKUP(B906, SOE!F:G, 2, FALSE), "No probado")</f>
        <v>No probado</v>
      </c>
    </row>
    <row r="907" spans="7:7" x14ac:dyDescent="0.35">
      <c r="G907" s="2" t="str">
        <f>IFERROR(VLOOKUP(B907, SOE!F:G, 2, FALSE), "No probado")</f>
        <v>No probado</v>
      </c>
    </row>
    <row r="908" spans="7:7" x14ac:dyDescent="0.35">
      <c r="G908" s="2" t="str">
        <f>IFERROR(VLOOKUP(B908, SOE!F:G, 2, FALSE), "No probado")</f>
        <v>No probado</v>
      </c>
    </row>
    <row r="909" spans="7:7" x14ac:dyDescent="0.35">
      <c r="G909" s="2" t="str">
        <f>IFERROR(VLOOKUP(B909, SOE!F:G, 2, FALSE), "No probado")</f>
        <v>No probado</v>
      </c>
    </row>
    <row r="910" spans="7:7" x14ac:dyDescent="0.35">
      <c r="G910" s="2" t="str">
        <f>IFERROR(VLOOKUP(B910, SOE!F:G, 2, FALSE), "No probado")</f>
        <v>No probado</v>
      </c>
    </row>
    <row r="911" spans="7:7" x14ac:dyDescent="0.35">
      <c r="G911" s="2" t="str">
        <f>IFERROR(VLOOKUP(B911, SOE!F:G, 2, FALSE), "No probado")</f>
        <v>No probado</v>
      </c>
    </row>
    <row r="912" spans="7:7" x14ac:dyDescent="0.35">
      <c r="G912" s="2" t="str">
        <f>IFERROR(VLOOKUP(B912, SOE!F:G, 2, FALSE), "No probado")</f>
        <v>No probado</v>
      </c>
    </row>
    <row r="913" spans="7:7" x14ac:dyDescent="0.35">
      <c r="G913" s="2" t="str">
        <f>IFERROR(VLOOKUP(B913, SOE!F:G, 2, FALSE), "No probado")</f>
        <v>No probado</v>
      </c>
    </row>
    <row r="914" spans="7:7" x14ac:dyDescent="0.35">
      <c r="G914" s="2" t="str">
        <f>IFERROR(VLOOKUP(B914, SOE!F:G, 2, FALSE), "No probado")</f>
        <v>No probado</v>
      </c>
    </row>
    <row r="915" spans="7:7" x14ac:dyDescent="0.35">
      <c r="G915" s="2" t="str">
        <f>IFERROR(VLOOKUP(B915, SOE!F:G, 2, FALSE), "No probado")</f>
        <v>No probado</v>
      </c>
    </row>
    <row r="916" spans="7:7" x14ac:dyDescent="0.35">
      <c r="G916" s="2" t="str">
        <f>IFERROR(VLOOKUP(B916, SOE!F:G, 2, FALSE), "No probado")</f>
        <v>No probado</v>
      </c>
    </row>
    <row r="917" spans="7:7" x14ac:dyDescent="0.35">
      <c r="G917" s="2" t="str">
        <f>IFERROR(VLOOKUP(B917, SOE!F:G, 2, FALSE), "No probado")</f>
        <v>No probado</v>
      </c>
    </row>
    <row r="918" spans="7:7" x14ac:dyDescent="0.35">
      <c r="G918" s="2" t="str">
        <f>IFERROR(VLOOKUP(B918, SOE!F:G, 2, FALSE), "No probado")</f>
        <v>No probado</v>
      </c>
    </row>
    <row r="919" spans="7:7" x14ac:dyDescent="0.35">
      <c r="G919" s="2" t="str">
        <f>IFERROR(VLOOKUP(B919, SOE!F:G, 2, FALSE), "No probado")</f>
        <v>No probado</v>
      </c>
    </row>
    <row r="920" spans="7:7" x14ac:dyDescent="0.35">
      <c r="G920" s="2" t="str">
        <f>IFERROR(VLOOKUP(B920, SOE!F:G, 2, FALSE), "No probado")</f>
        <v>No probado</v>
      </c>
    </row>
    <row r="921" spans="7:7" x14ac:dyDescent="0.35">
      <c r="G921" s="2" t="str">
        <f>IFERROR(VLOOKUP(B921, SOE!F:G, 2, FALSE), "No probado")</f>
        <v>No probado</v>
      </c>
    </row>
    <row r="922" spans="7:7" x14ac:dyDescent="0.35">
      <c r="G922" s="2" t="str">
        <f>IFERROR(VLOOKUP(B922, SOE!F:G, 2, FALSE), "No probado")</f>
        <v>No probado</v>
      </c>
    </row>
    <row r="923" spans="7:7" x14ac:dyDescent="0.35">
      <c r="G923" s="2" t="str">
        <f>IFERROR(VLOOKUP(B923, SOE!F:G, 2, FALSE), "No probado")</f>
        <v>No probado</v>
      </c>
    </row>
    <row r="924" spans="7:7" x14ac:dyDescent="0.35">
      <c r="G924" s="2" t="str">
        <f>IFERROR(VLOOKUP(B924, SOE!F:G, 2, FALSE), "No probado")</f>
        <v>No probado</v>
      </c>
    </row>
    <row r="925" spans="7:7" x14ac:dyDescent="0.35">
      <c r="G925" s="2" t="str">
        <f>IFERROR(VLOOKUP(B925, SOE!F:G, 2, FALSE), "No probado")</f>
        <v>No probado</v>
      </c>
    </row>
    <row r="926" spans="7:7" x14ac:dyDescent="0.35">
      <c r="G926" s="2" t="str">
        <f>IFERROR(VLOOKUP(B926, SOE!F:G, 2, FALSE), "No probado")</f>
        <v>No probado</v>
      </c>
    </row>
    <row r="927" spans="7:7" x14ac:dyDescent="0.35">
      <c r="G927" s="2" t="str">
        <f>IFERROR(VLOOKUP(B927, SOE!F:G, 2, FALSE), "No probado")</f>
        <v>No probado</v>
      </c>
    </row>
    <row r="928" spans="7:7" x14ac:dyDescent="0.35">
      <c r="G928" s="2" t="str">
        <f>IFERROR(VLOOKUP(B928, SOE!F:G, 2, FALSE), "No probado")</f>
        <v>No probado</v>
      </c>
    </row>
    <row r="929" spans="7:7" x14ac:dyDescent="0.35">
      <c r="G929" s="2" t="str">
        <f>IFERROR(VLOOKUP(B929, SOE!F:G, 2, FALSE), "No probado")</f>
        <v>No probado</v>
      </c>
    </row>
    <row r="930" spans="7:7" x14ac:dyDescent="0.35">
      <c r="G930" s="2" t="str">
        <f>IFERROR(VLOOKUP(B930, SOE!F:G, 2, FALSE), "No probado")</f>
        <v>No probado</v>
      </c>
    </row>
    <row r="931" spans="7:7" x14ac:dyDescent="0.35">
      <c r="G931" s="2" t="str">
        <f>IFERROR(VLOOKUP(B931, SOE!F:G, 2, FALSE), "No probado")</f>
        <v>No probado</v>
      </c>
    </row>
    <row r="932" spans="7:7" x14ac:dyDescent="0.35">
      <c r="G932" s="2" t="str">
        <f>IFERROR(VLOOKUP(B932, SOE!F:G, 2, FALSE), "No probado")</f>
        <v>No probado</v>
      </c>
    </row>
    <row r="933" spans="7:7" x14ac:dyDescent="0.35">
      <c r="G933" s="2" t="str">
        <f>IFERROR(VLOOKUP(B933, SOE!F:G, 2, FALSE), "No probado")</f>
        <v>No probado</v>
      </c>
    </row>
    <row r="934" spans="7:7" x14ac:dyDescent="0.35">
      <c r="G934" s="2" t="str">
        <f>IFERROR(VLOOKUP(B934, SOE!F:G, 2, FALSE), "No probado")</f>
        <v>No probado</v>
      </c>
    </row>
    <row r="935" spans="7:7" x14ac:dyDescent="0.35">
      <c r="G935" s="2" t="str">
        <f>IFERROR(VLOOKUP(B935, SOE!F:G, 2, FALSE), "No probado")</f>
        <v>No probado</v>
      </c>
    </row>
    <row r="936" spans="7:7" x14ac:dyDescent="0.35">
      <c r="G936" s="2" t="str">
        <f>IFERROR(VLOOKUP(B936, SOE!F:G, 2, FALSE), "No probado")</f>
        <v>No probado</v>
      </c>
    </row>
    <row r="937" spans="7:7" x14ac:dyDescent="0.35">
      <c r="G937" s="2" t="str">
        <f>IFERROR(VLOOKUP(B937, SOE!F:G, 2, FALSE), "No probado")</f>
        <v>No probado</v>
      </c>
    </row>
    <row r="938" spans="7:7" x14ac:dyDescent="0.35">
      <c r="G938" s="2" t="str">
        <f>IFERROR(VLOOKUP(B938, SOE!F:G, 2, FALSE), "No probado")</f>
        <v>No probado</v>
      </c>
    </row>
    <row r="939" spans="7:7" x14ac:dyDescent="0.35">
      <c r="G939" s="2" t="str">
        <f>IFERROR(VLOOKUP(B939, SOE!F:G, 2, FALSE), "No probado")</f>
        <v>No probado</v>
      </c>
    </row>
    <row r="940" spans="7:7" x14ac:dyDescent="0.35">
      <c r="G940" s="2" t="str">
        <f>IFERROR(VLOOKUP(B940, SOE!F:G, 2, FALSE), "No probado")</f>
        <v>No probado</v>
      </c>
    </row>
    <row r="941" spans="7:7" x14ac:dyDescent="0.35">
      <c r="G941" s="2" t="str">
        <f>IFERROR(VLOOKUP(B941, SOE!F:G, 2, FALSE), "No probado")</f>
        <v>No probado</v>
      </c>
    </row>
    <row r="942" spans="7:7" x14ac:dyDescent="0.35">
      <c r="G942" s="2" t="str">
        <f>IFERROR(VLOOKUP(B942, SOE!F:G, 2, FALSE), "No probado")</f>
        <v>No probado</v>
      </c>
    </row>
    <row r="943" spans="7:7" x14ac:dyDescent="0.35">
      <c r="G943" s="2" t="str">
        <f>IFERROR(VLOOKUP(B943, SOE!F:G, 2, FALSE), "No probado")</f>
        <v>No probado</v>
      </c>
    </row>
    <row r="944" spans="7:7" x14ac:dyDescent="0.35">
      <c r="G944" s="2" t="str">
        <f>IFERROR(VLOOKUP(B944, SOE!F:G, 2, FALSE), "No probado")</f>
        <v>No probado</v>
      </c>
    </row>
    <row r="945" spans="7:7" x14ac:dyDescent="0.35">
      <c r="G945" s="2" t="str">
        <f>IFERROR(VLOOKUP(B945, SOE!F:G, 2, FALSE), "No probado")</f>
        <v>No probado</v>
      </c>
    </row>
    <row r="946" spans="7:7" x14ac:dyDescent="0.35">
      <c r="G946" s="2" t="str">
        <f>IFERROR(VLOOKUP(B946, SOE!F:G, 2, FALSE), "No probado")</f>
        <v>No probado</v>
      </c>
    </row>
    <row r="947" spans="7:7" x14ac:dyDescent="0.35">
      <c r="G947" s="2" t="str">
        <f>IFERROR(VLOOKUP(B947, SOE!F:G, 2, FALSE), "No probado")</f>
        <v>No probado</v>
      </c>
    </row>
    <row r="948" spans="7:7" x14ac:dyDescent="0.35">
      <c r="G948" s="2" t="str">
        <f>IFERROR(VLOOKUP(B948, SOE!F:G, 2, FALSE), "No probado")</f>
        <v>No probado</v>
      </c>
    </row>
    <row r="949" spans="7:7" x14ac:dyDescent="0.35">
      <c r="G949" s="2" t="str">
        <f>IFERROR(VLOOKUP(B949, SOE!F:G, 2, FALSE), "No probado")</f>
        <v>No probado</v>
      </c>
    </row>
    <row r="950" spans="7:7" x14ac:dyDescent="0.35">
      <c r="G950" s="2" t="str">
        <f>IFERROR(VLOOKUP(B950, SOE!F:G, 2, FALSE), "No probado")</f>
        <v>No probado</v>
      </c>
    </row>
    <row r="951" spans="7:7" x14ac:dyDescent="0.35">
      <c r="G951" s="2" t="str">
        <f>IFERROR(VLOOKUP(B951, SOE!F:G, 2, FALSE), "No probado")</f>
        <v>No probado</v>
      </c>
    </row>
    <row r="952" spans="7:7" x14ac:dyDescent="0.35">
      <c r="G952" s="2" t="str">
        <f>IFERROR(VLOOKUP(B952, SOE!F:G, 2, FALSE), "No probado")</f>
        <v>No probado</v>
      </c>
    </row>
    <row r="953" spans="7:7" x14ac:dyDescent="0.35">
      <c r="G953" s="2" t="str">
        <f>IFERROR(VLOOKUP(B953, SOE!F:G, 2, FALSE), "No probado")</f>
        <v>No probado</v>
      </c>
    </row>
    <row r="954" spans="7:7" x14ac:dyDescent="0.35">
      <c r="G954" s="2" t="str">
        <f>IFERROR(VLOOKUP(B954, SOE!F:G, 2, FALSE), "No probado")</f>
        <v>No probado</v>
      </c>
    </row>
    <row r="955" spans="7:7" x14ac:dyDescent="0.35">
      <c r="G955" s="2" t="str">
        <f>IFERROR(VLOOKUP(B955, SOE!F:G, 2, FALSE), "No probado")</f>
        <v>No probado</v>
      </c>
    </row>
    <row r="956" spans="7:7" x14ac:dyDescent="0.35">
      <c r="G956" s="2" t="str">
        <f>IFERROR(VLOOKUP(B956, SOE!F:G, 2, FALSE), "No probado")</f>
        <v>No probado</v>
      </c>
    </row>
    <row r="957" spans="7:7" x14ac:dyDescent="0.35">
      <c r="G957" s="2" t="str">
        <f>IFERROR(VLOOKUP(B957, SOE!F:G, 2, FALSE), "No probado")</f>
        <v>No probado</v>
      </c>
    </row>
    <row r="958" spans="7:7" x14ac:dyDescent="0.35">
      <c r="G958" s="2" t="str">
        <f>IFERROR(VLOOKUP(B958, SOE!F:G, 2, FALSE), "No probado")</f>
        <v>No probado</v>
      </c>
    </row>
    <row r="959" spans="7:7" x14ac:dyDescent="0.35">
      <c r="G959" s="2" t="str">
        <f>IFERROR(VLOOKUP(B959, SOE!F:G, 2, FALSE), "No probado")</f>
        <v>No probado</v>
      </c>
    </row>
    <row r="960" spans="7:7" x14ac:dyDescent="0.35">
      <c r="G960" s="2" t="str">
        <f>IFERROR(VLOOKUP(B960, SOE!F:G, 2, FALSE), "No probado")</f>
        <v>No probado</v>
      </c>
    </row>
    <row r="961" spans="7:7" x14ac:dyDescent="0.35">
      <c r="G961" s="2" t="str">
        <f>IFERROR(VLOOKUP(B961, SOE!F:G, 2, FALSE), "No probado")</f>
        <v>No probado</v>
      </c>
    </row>
    <row r="962" spans="7:7" x14ac:dyDescent="0.35">
      <c r="G962" s="2" t="str">
        <f>IFERROR(VLOOKUP(B962, SOE!F:G, 2, FALSE), "No probado")</f>
        <v>No probado</v>
      </c>
    </row>
    <row r="963" spans="7:7" x14ac:dyDescent="0.35">
      <c r="G963" s="2" t="str">
        <f>IFERROR(VLOOKUP(B963, SOE!F:G, 2, FALSE), "No probado")</f>
        <v>No probado</v>
      </c>
    </row>
    <row r="964" spans="7:7" x14ac:dyDescent="0.35">
      <c r="G964" s="2" t="str">
        <f>IFERROR(VLOOKUP(B964, SOE!F:G, 2, FALSE), "No probado")</f>
        <v>No probado</v>
      </c>
    </row>
    <row r="965" spans="7:7" x14ac:dyDescent="0.35">
      <c r="G965" s="2" t="str">
        <f>IFERROR(VLOOKUP(B965, SOE!F:G, 2, FALSE), "No probado")</f>
        <v>No probado</v>
      </c>
    </row>
    <row r="966" spans="7:7" x14ac:dyDescent="0.35">
      <c r="G966" s="2" t="str">
        <f>IFERROR(VLOOKUP(B966, SOE!F:G, 2, FALSE), "No probado")</f>
        <v>No probado</v>
      </c>
    </row>
    <row r="967" spans="7:7" x14ac:dyDescent="0.35">
      <c r="G967" s="2" t="str">
        <f>IFERROR(VLOOKUP(B967, SOE!F:G, 2, FALSE), "No probado")</f>
        <v>No probado</v>
      </c>
    </row>
    <row r="968" spans="7:7" x14ac:dyDescent="0.35">
      <c r="G968" s="2" t="str">
        <f>IFERROR(VLOOKUP(B968, SOE!F:G, 2, FALSE), "No probado")</f>
        <v>No probado</v>
      </c>
    </row>
    <row r="969" spans="7:7" x14ac:dyDescent="0.35">
      <c r="G969" s="2" t="str">
        <f>IFERROR(VLOOKUP(B969, SOE!F:G, 2, FALSE), "No probado")</f>
        <v>No probado</v>
      </c>
    </row>
    <row r="970" spans="7:7" x14ac:dyDescent="0.35">
      <c r="G970" s="2" t="str">
        <f>IFERROR(VLOOKUP(B970, SOE!F:G, 2, FALSE), "No probado")</f>
        <v>No probado</v>
      </c>
    </row>
    <row r="971" spans="7:7" x14ac:dyDescent="0.35">
      <c r="G971" s="2" t="str">
        <f>IFERROR(VLOOKUP(B971, SOE!F:G, 2, FALSE), "No probado")</f>
        <v>No probado</v>
      </c>
    </row>
    <row r="972" spans="7:7" x14ac:dyDescent="0.35">
      <c r="G972" s="2" t="str">
        <f>IFERROR(VLOOKUP(B972, SOE!F:G, 2, FALSE), "No probado")</f>
        <v>No probado</v>
      </c>
    </row>
    <row r="973" spans="7:7" x14ac:dyDescent="0.35">
      <c r="G973" s="2" t="str">
        <f>IFERROR(VLOOKUP(B973, SOE!F:G, 2, FALSE), "No probado")</f>
        <v>No probado</v>
      </c>
    </row>
    <row r="974" spans="7:7" x14ac:dyDescent="0.35">
      <c r="G974" s="2" t="str">
        <f>IFERROR(VLOOKUP(B974, SOE!F:G, 2, FALSE), "No probado")</f>
        <v>No probado</v>
      </c>
    </row>
    <row r="975" spans="7:7" x14ac:dyDescent="0.35">
      <c r="G975" s="2" t="str">
        <f>IFERROR(VLOOKUP(B975, SOE!F:G, 2, FALSE), "No probado")</f>
        <v>No probado</v>
      </c>
    </row>
    <row r="976" spans="7:7" x14ac:dyDescent="0.35">
      <c r="G976" s="2" t="str">
        <f>IFERROR(VLOOKUP(B976, SOE!F:G, 2, FALSE), "No probado")</f>
        <v>No probado</v>
      </c>
    </row>
    <row r="977" spans="7:7" x14ac:dyDescent="0.35">
      <c r="G977" s="2" t="str">
        <f>IFERROR(VLOOKUP(B977, SOE!F:G, 2, FALSE), "No probado")</f>
        <v>No probado</v>
      </c>
    </row>
    <row r="978" spans="7:7" x14ac:dyDescent="0.35">
      <c r="G978" s="2" t="str">
        <f>IFERROR(VLOOKUP(B978, SOE!F:G, 2, FALSE), "No probado")</f>
        <v>No probado</v>
      </c>
    </row>
    <row r="979" spans="7:7" x14ac:dyDescent="0.35">
      <c r="G979" s="2" t="str">
        <f>IFERROR(VLOOKUP(B979, SOE!F:G, 2, FALSE), "No probado")</f>
        <v>No probado</v>
      </c>
    </row>
    <row r="980" spans="7:7" x14ac:dyDescent="0.35">
      <c r="G980" s="2" t="str">
        <f>IFERROR(VLOOKUP(B980, SOE!F:G, 2, FALSE), "No probado")</f>
        <v>No probado</v>
      </c>
    </row>
    <row r="981" spans="7:7" x14ac:dyDescent="0.35">
      <c r="G981" s="2" t="str">
        <f>IFERROR(VLOOKUP(B981, SOE!F:G, 2, FALSE), "No probado")</f>
        <v>No probado</v>
      </c>
    </row>
    <row r="982" spans="7:7" x14ac:dyDescent="0.35">
      <c r="G982" s="2" t="str">
        <f>IFERROR(VLOOKUP(B982, SOE!F:G, 2, FALSE), "No probado")</f>
        <v>No probado</v>
      </c>
    </row>
    <row r="983" spans="7:7" x14ac:dyDescent="0.35">
      <c r="G983" s="2" t="str">
        <f>IFERROR(VLOOKUP(B983, SOE!F:G, 2, FALSE), "No probado")</f>
        <v>No probado</v>
      </c>
    </row>
    <row r="984" spans="7:7" x14ac:dyDescent="0.35">
      <c r="G984" s="2" t="str">
        <f>IFERROR(VLOOKUP(B984, SOE!F:G, 2, FALSE), "No probado")</f>
        <v>No probado</v>
      </c>
    </row>
    <row r="985" spans="7:7" x14ac:dyDescent="0.35">
      <c r="G985" s="2" t="str">
        <f>IFERROR(VLOOKUP(B985, SOE!F:G, 2, FALSE), "No probado")</f>
        <v>No probado</v>
      </c>
    </row>
    <row r="986" spans="7:7" x14ac:dyDescent="0.35">
      <c r="G986" s="2" t="str">
        <f>IFERROR(VLOOKUP(B986, SOE!F:G, 2, FALSE), "No probado")</f>
        <v>No probado</v>
      </c>
    </row>
    <row r="987" spans="7:7" x14ac:dyDescent="0.35">
      <c r="G987" s="2" t="str">
        <f>IFERROR(VLOOKUP(B987, SOE!F:G, 2, FALSE), "No probado")</f>
        <v>No probado</v>
      </c>
    </row>
    <row r="988" spans="7:7" x14ac:dyDescent="0.35">
      <c r="G988" s="2" t="str">
        <f>IFERROR(VLOOKUP(B988, SOE!F:G, 2, FALSE), "No probado")</f>
        <v>No probado</v>
      </c>
    </row>
    <row r="989" spans="7:7" x14ac:dyDescent="0.35">
      <c r="G989" s="2" t="str">
        <f>IFERROR(VLOOKUP(B989, SOE!F:G, 2, FALSE), "No probado")</f>
        <v>No probado</v>
      </c>
    </row>
    <row r="990" spans="7:7" x14ac:dyDescent="0.35">
      <c r="G990" s="2" t="str">
        <f>IFERROR(VLOOKUP(B990, SOE!F:G, 2, FALSE), "No probado")</f>
        <v>No probado</v>
      </c>
    </row>
    <row r="991" spans="7:7" x14ac:dyDescent="0.35">
      <c r="G991" s="2" t="str">
        <f>IFERROR(VLOOKUP(B991, SOE!F:G, 2, FALSE), "No probado")</f>
        <v>No probado</v>
      </c>
    </row>
    <row r="992" spans="7:7" x14ac:dyDescent="0.35">
      <c r="G992" s="2" t="str">
        <f>IFERROR(VLOOKUP(B992, SOE!F:G, 2, FALSE), "No probado")</f>
        <v>No probado</v>
      </c>
    </row>
    <row r="993" spans="7:7" x14ac:dyDescent="0.35">
      <c r="G993" s="2" t="str">
        <f>IFERROR(VLOOKUP(B993, SOE!F:G, 2, FALSE), "No probado")</f>
        <v>No probado</v>
      </c>
    </row>
    <row r="994" spans="7:7" x14ac:dyDescent="0.35">
      <c r="G994" s="2" t="str">
        <f>IFERROR(VLOOKUP(B994, SOE!F:G, 2, FALSE), "No probado")</f>
        <v>No probado</v>
      </c>
    </row>
    <row r="995" spans="7:7" x14ac:dyDescent="0.35">
      <c r="G995" s="2" t="str">
        <f>IFERROR(VLOOKUP(B995, SOE!F:G, 2, FALSE), "No probado")</f>
        <v>No probado</v>
      </c>
    </row>
    <row r="996" spans="7:7" x14ac:dyDescent="0.35">
      <c r="G996" s="2" t="str">
        <f>IFERROR(VLOOKUP(B996, SOE!F:G, 2, FALSE), "No probado")</f>
        <v>No probado</v>
      </c>
    </row>
    <row r="997" spans="7:7" x14ac:dyDescent="0.35">
      <c r="G997" s="2" t="str">
        <f>IFERROR(VLOOKUP(B997, SOE!F:G, 2, FALSE), "No probado")</f>
        <v>No probado</v>
      </c>
    </row>
    <row r="998" spans="7:7" x14ac:dyDescent="0.35">
      <c r="G998" s="2" t="str">
        <f>IFERROR(VLOOKUP(B998, SOE!F:G, 2, FALSE), "No probado")</f>
        <v>No probado</v>
      </c>
    </row>
    <row r="999" spans="7:7" x14ac:dyDescent="0.35">
      <c r="G999" s="2" t="str">
        <f>IFERROR(VLOOKUP(B999, SOE!F:G, 2, FALSE), "No probado")</f>
        <v>No probado</v>
      </c>
    </row>
    <row r="1000" spans="7:7" x14ac:dyDescent="0.35">
      <c r="G1000" s="2" t="str">
        <f>IFERROR(VLOOKUP(B1000, SOE!F:G, 2, FALSE), "No probado")</f>
        <v>No probado</v>
      </c>
    </row>
    <row r="1001" spans="7:7" x14ac:dyDescent="0.35">
      <c r="G1001" s="2" t="str">
        <f>IFERROR(VLOOKUP(B1001, SOE!F:G, 2, FALSE), "No probado")</f>
        <v>No probado</v>
      </c>
    </row>
    <row r="1002" spans="7:7" x14ac:dyDescent="0.35">
      <c r="G1002" s="2" t="str">
        <f>IFERROR(VLOOKUP(B1002, SOE!F:G, 2, FALSE), "No probado")</f>
        <v>No probado</v>
      </c>
    </row>
    <row r="1003" spans="7:7" x14ac:dyDescent="0.35">
      <c r="G1003" s="2" t="str">
        <f>IFERROR(VLOOKUP(B1003, SOE!F:G, 2, FALSE), "No probado")</f>
        <v>No probado</v>
      </c>
    </row>
    <row r="1004" spans="7:7" x14ac:dyDescent="0.35">
      <c r="G1004" s="2" t="str">
        <f>IFERROR(VLOOKUP(B1004, SOE!F:G, 2, FALSE), "No probado")</f>
        <v>No probado</v>
      </c>
    </row>
    <row r="1005" spans="7:7" x14ac:dyDescent="0.35">
      <c r="G1005" s="2" t="str">
        <f>IFERROR(VLOOKUP(B1005, SOE!F:G, 2, FALSE), "No probado")</f>
        <v>No probado</v>
      </c>
    </row>
    <row r="1006" spans="7:7" x14ac:dyDescent="0.35">
      <c r="G1006" s="2" t="str">
        <f>IFERROR(VLOOKUP(B1006, SOE!F:G, 2, FALSE), "No probado")</f>
        <v>No probado</v>
      </c>
    </row>
    <row r="1007" spans="7:7" x14ac:dyDescent="0.35">
      <c r="G1007" s="2" t="str">
        <f>IFERROR(VLOOKUP(B1007, SOE!F:G, 2, FALSE), "No probado")</f>
        <v>No probado</v>
      </c>
    </row>
    <row r="1008" spans="7:7" x14ac:dyDescent="0.35">
      <c r="G1008" s="2" t="str">
        <f>IFERROR(VLOOKUP(B1008, SOE!F:G, 2, FALSE), "No probado")</f>
        <v>No probado</v>
      </c>
    </row>
    <row r="1009" spans="7:7" x14ac:dyDescent="0.35">
      <c r="G1009" s="2" t="str">
        <f>IFERROR(VLOOKUP(B1009, SOE!F:G, 2, FALSE), "No probado")</f>
        <v>No probado</v>
      </c>
    </row>
    <row r="1010" spans="7:7" x14ac:dyDescent="0.35">
      <c r="G1010" s="2" t="str">
        <f>IFERROR(VLOOKUP(B1010, SOE!F:G, 2, FALSE), "No probado")</f>
        <v>No probado</v>
      </c>
    </row>
    <row r="1011" spans="7:7" x14ac:dyDescent="0.35">
      <c r="G1011" s="2" t="str">
        <f>IFERROR(VLOOKUP(B1011, SOE!F:G, 2, FALSE), "No probado")</f>
        <v>No probado</v>
      </c>
    </row>
    <row r="1012" spans="7:7" x14ac:dyDescent="0.35">
      <c r="G1012" s="2" t="str">
        <f>IFERROR(VLOOKUP(B1012, SOE!F:G, 2, FALSE), "No probado")</f>
        <v>No probado</v>
      </c>
    </row>
    <row r="1013" spans="7:7" x14ac:dyDescent="0.35">
      <c r="G1013" s="2" t="str">
        <f>IFERROR(VLOOKUP(B1013, SOE!F:G, 2, FALSE), "No probado")</f>
        <v>No probado</v>
      </c>
    </row>
    <row r="1014" spans="7:7" x14ac:dyDescent="0.35">
      <c r="G1014" s="2" t="str">
        <f>IFERROR(VLOOKUP(B1014, SOE!F:G, 2, FALSE), "No probado")</f>
        <v>No probado</v>
      </c>
    </row>
    <row r="1015" spans="7:7" x14ac:dyDescent="0.35">
      <c r="G1015" s="2" t="str">
        <f>IFERROR(VLOOKUP(B1015, SOE!F:G, 2, FALSE), "No probado")</f>
        <v>No probado</v>
      </c>
    </row>
    <row r="1016" spans="7:7" x14ac:dyDescent="0.35">
      <c r="G1016" s="2" t="str">
        <f>IFERROR(VLOOKUP(B1016, SOE!F:G, 2, FALSE), "No probado")</f>
        <v>No probado</v>
      </c>
    </row>
    <row r="1017" spans="7:7" x14ac:dyDescent="0.35">
      <c r="G1017" s="2" t="str">
        <f>IFERROR(VLOOKUP(B1017, SOE!F:G, 2, FALSE), "No probado")</f>
        <v>No probado</v>
      </c>
    </row>
    <row r="1018" spans="7:7" x14ac:dyDescent="0.35">
      <c r="G1018" s="2" t="str">
        <f>IFERROR(VLOOKUP(B1018, SOE!F:G, 2, FALSE), "No probado")</f>
        <v>No probado</v>
      </c>
    </row>
    <row r="1019" spans="7:7" x14ac:dyDescent="0.35">
      <c r="G1019" s="2" t="str">
        <f>IFERROR(VLOOKUP(B1019, SOE!F:G, 2, FALSE), "No probado")</f>
        <v>No probado</v>
      </c>
    </row>
    <row r="1020" spans="7:7" x14ac:dyDescent="0.35">
      <c r="G1020" s="2" t="str">
        <f>IFERROR(VLOOKUP(B1020, SOE!F:G, 2, FALSE), "No probado")</f>
        <v>No probado</v>
      </c>
    </row>
    <row r="1021" spans="7:7" x14ac:dyDescent="0.35">
      <c r="G1021" s="2" t="str">
        <f>IFERROR(VLOOKUP(B1021, SOE!F:G, 2, FALSE), "No probado")</f>
        <v>No probado</v>
      </c>
    </row>
    <row r="1022" spans="7:7" x14ac:dyDescent="0.35">
      <c r="G1022" s="2" t="str">
        <f>IFERROR(VLOOKUP(B1022, SOE!F:G, 2, FALSE), "No probado")</f>
        <v>No probado</v>
      </c>
    </row>
    <row r="1023" spans="7:7" x14ac:dyDescent="0.35">
      <c r="G1023" s="2" t="str">
        <f>IFERROR(VLOOKUP(B1023, SOE!F:G, 2, FALSE), "No probado")</f>
        <v>No probado</v>
      </c>
    </row>
    <row r="1024" spans="7:7" x14ac:dyDescent="0.35">
      <c r="G1024" s="2" t="str">
        <f>IFERROR(VLOOKUP(B1024, SOE!F:G, 2, FALSE), "No probado")</f>
        <v>No probado</v>
      </c>
    </row>
    <row r="1025" spans="7:7" x14ac:dyDescent="0.35">
      <c r="G1025" s="2" t="str">
        <f>IFERROR(VLOOKUP(B1025, SOE!F:G, 2, FALSE), "No probado")</f>
        <v>No probado</v>
      </c>
    </row>
    <row r="1026" spans="7:7" x14ac:dyDescent="0.35">
      <c r="G1026" s="2" t="str">
        <f>IFERROR(VLOOKUP(B1026, SOE!F:G, 2, FALSE), "No probado")</f>
        <v>No probado</v>
      </c>
    </row>
    <row r="1027" spans="7:7" x14ac:dyDescent="0.35">
      <c r="G1027" s="2" t="str">
        <f>IFERROR(VLOOKUP(B1027, SOE!F:G, 2, FALSE), "No probado")</f>
        <v>No probado</v>
      </c>
    </row>
    <row r="1028" spans="7:7" x14ac:dyDescent="0.35">
      <c r="G1028" s="2" t="str">
        <f>IFERROR(VLOOKUP(B1028, SOE!F:G, 2, FALSE), "No probado")</f>
        <v>No probado</v>
      </c>
    </row>
    <row r="1029" spans="7:7" x14ac:dyDescent="0.35">
      <c r="G1029" s="2" t="str">
        <f>IFERROR(VLOOKUP(B1029, SOE!F:G, 2, FALSE), "No probado")</f>
        <v>No probado</v>
      </c>
    </row>
    <row r="1030" spans="7:7" x14ac:dyDescent="0.35">
      <c r="G1030" s="2" t="str">
        <f>IFERROR(VLOOKUP(B1030, SOE!F:G, 2, FALSE), "No probado")</f>
        <v>No probado</v>
      </c>
    </row>
    <row r="1031" spans="7:7" x14ac:dyDescent="0.35">
      <c r="G1031" s="2" t="str">
        <f>IFERROR(VLOOKUP(B1031, SOE!F:G, 2, FALSE), "No probado")</f>
        <v>No probado</v>
      </c>
    </row>
    <row r="1032" spans="7:7" x14ac:dyDescent="0.35">
      <c r="G1032" s="2" t="str">
        <f>IFERROR(VLOOKUP(B1032, SOE!F:G, 2, FALSE), "No probado")</f>
        <v>No probado</v>
      </c>
    </row>
    <row r="1033" spans="7:7" x14ac:dyDescent="0.35">
      <c r="G1033" s="2" t="str">
        <f>IFERROR(VLOOKUP(B1033, SOE!F:G, 2, FALSE), "No probado")</f>
        <v>No probado</v>
      </c>
    </row>
    <row r="1034" spans="7:7" x14ac:dyDescent="0.35">
      <c r="G1034" s="2" t="str">
        <f>IFERROR(VLOOKUP(B1034, SOE!F:G, 2, FALSE), "No probado")</f>
        <v>No probado</v>
      </c>
    </row>
    <row r="1035" spans="7:7" x14ac:dyDescent="0.35">
      <c r="G1035" s="2" t="str">
        <f>IFERROR(VLOOKUP(B1035, SOE!F:G, 2, FALSE), "No probado")</f>
        <v>No probado</v>
      </c>
    </row>
    <row r="1036" spans="7:7" x14ac:dyDescent="0.35">
      <c r="G1036" s="2" t="str">
        <f>IFERROR(VLOOKUP(B1036, SOE!F:G, 2, FALSE), "No probado")</f>
        <v>No probado</v>
      </c>
    </row>
    <row r="1037" spans="7:7" x14ac:dyDescent="0.35">
      <c r="G1037" s="2" t="str">
        <f>IFERROR(VLOOKUP(B1037, SOE!F:G, 2, FALSE), "No probado")</f>
        <v>No probado</v>
      </c>
    </row>
    <row r="1038" spans="7:7" x14ac:dyDescent="0.35">
      <c r="G1038" s="2" t="str">
        <f>IFERROR(VLOOKUP(B1038, SOE!F:G, 2, FALSE), "No probado")</f>
        <v>No probado</v>
      </c>
    </row>
    <row r="1039" spans="7:7" x14ac:dyDescent="0.35">
      <c r="G1039" s="2" t="str">
        <f>IFERROR(VLOOKUP(B1039, SOE!F:G, 2, FALSE), "No probado")</f>
        <v>No probado</v>
      </c>
    </row>
    <row r="1040" spans="7:7" x14ac:dyDescent="0.35">
      <c r="G1040" s="2" t="str">
        <f>IFERROR(VLOOKUP(B1040, SOE!F:G, 2, FALSE), "No probado")</f>
        <v>No probado</v>
      </c>
    </row>
    <row r="1041" spans="7:7" x14ac:dyDescent="0.35">
      <c r="G1041" s="2" t="str">
        <f>IFERROR(VLOOKUP(B1041, SOE!F:G, 2, FALSE), "No probado")</f>
        <v>No probado</v>
      </c>
    </row>
    <row r="1042" spans="7:7" x14ac:dyDescent="0.35">
      <c r="G1042" s="2" t="str">
        <f>IFERROR(VLOOKUP(B1042, SOE!F:G, 2, FALSE), "No probado")</f>
        <v>No probado</v>
      </c>
    </row>
    <row r="1043" spans="7:7" x14ac:dyDescent="0.35">
      <c r="G1043" s="2" t="str">
        <f>IFERROR(VLOOKUP(B1043, SOE!F:G, 2, FALSE), "No probado")</f>
        <v>No probado</v>
      </c>
    </row>
    <row r="1044" spans="7:7" x14ac:dyDescent="0.35">
      <c r="G1044" s="2" t="str">
        <f>IFERROR(VLOOKUP(B1044, SOE!F:G, 2, FALSE), "No probado")</f>
        <v>No probado</v>
      </c>
    </row>
    <row r="1045" spans="7:7" x14ac:dyDescent="0.35">
      <c r="G1045" s="2" t="str">
        <f>IFERROR(VLOOKUP(B1045, SOE!F:G, 2, FALSE), "No probado")</f>
        <v>No probado</v>
      </c>
    </row>
    <row r="1046" spans="7:7" x14ac:dyDescent="0.35">
      <c r="G1046" s="2" t="str">
        <f>IFERROR(VLOOKUP(B1046, SOE!F:G, 2, FALSE), "No probado")</f>
        <v>No probado</v>
      </c>
    </row>
    <row r="1047" spans="7:7" x14ac:dyDescent="0.35">
      <c r="G1047" s="2" t="str">
        <f>IFERROR(VLOOKUP(B1047, SOE!F:G, 2, FALSE), "No probado")</f>
        <v>No probado</v>
      </c>
    </row>
    <row r="1048" spans="7:7" x14ac:dyDescent="0.35">
      <c r="G1048" s="2" t="str">
        <f>IFERROR(VLOOKUP(B1048, SOE!F:G, 2, FALSE), "No probado")</f>
        <v>No probado</v>
      </c>
    </row>
    <row r="1049" spans="7:7" x14ac:dyDescent="0.35">
      <c r="G1049" s="2" t="str">
        <f>IFERROR(VLOOKUP(B1049, SOE!F:G, 2, FALSE), "No probado")</f>
        <v>No probado</v>
      </c>
    </row>
    <row r="1050" spans="7:7" x14ac:dyDescent="0.35">
      <c r="G1050" s="2" t="str">
        <f>IFERROR(VLOOKUP(B1050, SOE!F:G, 2, FALSE), "No probado")</f>
        <v>No probado</v>
      </c>
    </row>
    <row r="1051" spans="7:7" x14ac:dyDescent="0.35">
      <c r="G1051" s="2" t="str">
        <f>IFERROR(VLOOKUP(B1051, SOE!F:G, 2, FALSE), "No probado")</f>
        <v>No probado</v>
      </c>
    </row>
    <row r="1052" spans="7:7" x14ac:dyDescent="0.35">
      <c r="G1052" s="2" t="str">
        <f>IFERROR(VLOOKUP(B1052, SOE!F:G, 2, FALSE), "No probado")</f>
        <v>No probado</v>
      </c>
    </row>
    <row r="1053" spans="7:7" x14ac:dyDescent="0.35">
      <c r="G1053" s="2" t="str">
        <f>IFERROR(VLOOKUP(B1053, SOE!F:G, 2, FALSE), "No probado")</f>
        <v>No probado</v>
      </c>
    </row>
    <row r="1054" spans="7:7" x14ac:dyDescent="0.35">
      <c r="G1054" s="2" t="str">
        <f>IFERROR(VLOOKUP(B1054, SOE!F:G, 2, FALSE), "No probado")</f>
        <v>No probado</v>
      </c>
    </row>
    <row r="1055" spans="7:7" x14ac:dyDescent="0.35">
      <c r="G1055" s="2" t="str">
        <f>IFERROR(VLOOKUP(B1055, SOE!F:G, 2, FALSE), "No probado")</f>
        <v>No probado</v>
      </c>
    </row>
    <row r="1056" spans="7:7" x14ac:dyDescent="0.35">
      <c r="G1056" s="2" t="str">
        <f>IFERROR(VLOOKUP(B1056, SOE!F:G, 2, FALSE), "No probado")</f>
        <v>No probado</v>
      </c>
    </row>
    <row r="1057" spans="7:7" x14ac:dyDescent="0.35">
      <c r="G1057" s="2" t="str">
        <f>IFERROR(VLOOKUP(B1057, SOE!F:G, 2, FALSE), "No probado")</f>
        <v>No probado</v>
      </c>
    </row>
    <row r="1058" spans="7:7" x14ac:dyDescent="0.35">
      <c r="G1058" s="2" t="str">
        <f>IFERROR(VLOOKUP(B1058, SOE!F:G, 2, FALSE), "No probado")</f>
        <v>No probado</v>
      </c>
    </row>
    <row r="1059" spans="7:7" x14ac:dyDescent="0.35">
      <c r="G1059" s="2" t="str">
        <f>IFERROR(VLOOKUP(B1059, SOE!F:G, 2, FALSE), "No probado")</f>
        <v>No probado</v>
      </c>
    </row>
    <row r="1060" spans="7:7" x14ac:dyDescent="0.35">
      <c r="G1060" s="2" t="str">
        <f>IFERROR(VLOOKUP(B1060, SOE!F:G, 2, FALSE), "No probado")</f>
        <v>No probado</v>
      </c>
    </row>
    <row r="1061" spans="7:7" x14ac:dyDescent="0.35">
      <c r="G1061" s="2" t="str">
        <f>IFERROR(VLOOKUP(B1061, SOE!F:G, 2, FALSE), "No probado")</f>
        <v>No probado</v>
      </c>
    </row>
    <row r="1062" spans="7:7" x14ac:dyDescent="0.35">
      <c r="G1062" s="2" t="str">
        <f>IFERROR(VLOOKUP(B1062, SOE!F:G, 2, FALSE), "No probado")</f>
        <v>No probado</v>
      </c>
    </row>
    <row r="1063" spans="7:7" x14ac:dyDescent="0.35">
      <c r="G1063" s="2" t="str">
        <f>IFERROR(VLOOKUP(B1063, SOE!F:G, 2, FALSE), "No probado")</f>
        <v>No probado</v>
      </c>
    </row>
    <row r="1064" spans="7:7" x14ac:dyDescent="0.35">
      <c r="G1064" s="2" t="str">
        <f>IFERROR(VLOOKUP(B1064, SOE!F:G, 2, FALSE), "No probado")</f>
        <v>No probado</v>
      </c>
    </row>
    <row r="1065" spans="7:7" x14ac:dyDescent="0.35">
      <c r="G1065" s="2" t="str">
        <f>IFERROR(VLOOKUP(B1065, SOE!F:G, 2, FALSE), "No probado")</f>
        <v>No probado</v>
      </c>
    </row>
    <row r="1066" spans="7:7" x14ac:dyDescent="0.35">
      <c r="G1066" s="2" t="str">
        <f>IFERROR(VLOOKUP(B1066, SOE!F:G, 2, FALSE), "No probado")</f>
        <v>No probado</v>
      </c>
    </row>
    <row r="1067" spans="7:7" x14ac:dyDescent="0.35">
      <c r="G1067" s="2" t="str">
        <f>IFERROR(VLOOKUP(B1067, SOE!F:G, 2, FALSE), "No probado")</f>
        <v>No probado</v>
      </c>
    </row>
    <row r="1068" spans="7:7" x14ac:dyDescent="0.35">
      <c r="G1068" s="2" t="str">
        <f>IFERROR(VLOOKUP(B1068, SOE!F:G, 2, FALSE), "No probado")</f>
        <v>No probado</v>
      </c>
    </row>
    <row r="1069" spans="7:7" x14ac:dyDescent="0.35">
      <c r="G1069" s="2" t="str">
        <f>IFERROR(VLOOKUP(B1069, SOE!F:G, 2, FALSE), "No probado")</f>
        <v>No probado</v>
      </c>
    </row>
    <row r="1070" spans="7:7" x14ac:dyDescent="0.35">
      <c r="G1070" s="2" t="str">
        <f>IFERROR(VLOOKUP(B1070, SOE!F:G, 2, FALSE), "No probado")</f>
        <v>No probado</v>
      </c>
    </row>
    <row r="1071" spans="7:7" x14ac:dyDescent="0.35">
      <c r="G1071" s="2" t="str">
        <f>IFERROR(VLOOKUP(B1071, SOE!F:G, 2, FALSE), "No probado")</f>
        <v>No probado</v>
      </c>
    </row>
    <row r="1072" spans="7:7" x14ac:dyDescent="0.35">
      <c r="G1072" s="2" t="str">
        <f>IFERROR(VLOOKUP(B1072, SOE!F:G, 2, FALSE), "No probado")</f>
        <v>No probado</v>
      </c>
    </row>
    <row r="1073" spans="7:7" x14ac:dyDescent="0.35">
      <c r="G1073" s="2" t="str">
        <f>IFERROR(VLOOKUP(B1073, SOE!F:G, 2, FALSE), "No probado")</f>
        <v>No probado</v>
      </c>
    </row>
    <row r="1074" spans="7:7" x14ac:dyDescent="0.35">
      <c r="G1074" s="2" t="str">
        <f>IFERROR(VLOOKUP(B1074, SOE!F:G, 2, FALSE), "No probado")</f>
        <v>No probado</v>
      </c>
    </row>
    <row r="1075" spans="7:7" x14ac:dyDescent="0.35">
      <c r="G1075" s="2" t="str">
        <f>IFERROR(VLOOKUP(B1075, SOE!F:G, 2, FALSE), "No probado")</f>
        <v>No probado</v>
      </c>
    </row>
    <row r="1076" spans="7:7" x14ac:dyDescent="0.35">
      <c r="G1076" s="2" t="str">
        <f>IFERROR(VLOOKUP(B1076, SOE!F:G, 2, FALSE), "No probado")</f>
        <v>No probado</v>
      </c>
    </row>
    <row r="1077" spans="7:7" x14ac:dyDescent="0.35">
      <c r="G1077" s="2" t="str">
        <f>IFERROR(VLOOKUP(B1077, SOE!F:G, 2, FALSE), "No probado")</f>
        <v>No probado</v>
      </c>
    </row>
    <row r="1078" spans="7:7" x14ac:dyDescent="0.35">
      <c r="G1078" s="2" t="str">
        <f>IFERROR(VLOOKUP(B1078, SOE!F:G, 2, FALSE), "No probado")</f>
        <v>No probado</v>
      </c>
    </row>
    <row r="1079" spans="7:7" x14ac:dyDescent="0.35">
      <c r="G1079" s="2" t="str">
        <f>IFERROR(VLOOKUP(B1079, SOE!F:G, 2, FALSE), "No probado")</f>
        <v>No probado</v>
      </c>
    </row>
    <row r="1080" spans="7:7" x14ac:dyDescent="0.35">
      <c r="G1080" s="2" t="str">
        <f>IFERROR(VLOOKUP(B1080, SOE!F:G, 2, FALSE), "No probado")</f>
        <v>No probado</v>
      </c>
    </row>
    <row r="1081" spans="7:7" x14ac:dyDescent="0.35">
      <c r="G1081" s="2" t="str">
        <f>IFERROR(VLOOKUP(B1081, SOE!F:G, 2, FALSE), "No probado")</f>
        <v>No probado</v>
      </c>
    </row>
    <row r="1082" spans="7:7" x14ac:dyDescent="0.35">
      <c r="G1082" s="2" t="str">
        <f>IFERROR(VLOOKUP(B1082, SOE!F:G, 2, FALSE), "No probado")</f>
        <v>No probado</v>
      </c>
    </row>
    <row r="1083" spans="7:7" x14ac:dyDescent="0.35">
      <c r="G1083" s="2" t="str">
        <f>IFERROR(VLOOKUP(B1083, SOE!F:G, 2, FALSE), "No probado")</f>
        <v>No probado</v>
      </c>
    </row>
    <row r="1084" spans="7:7" x14ac:dyDescent="0.35">
      <c r="G1084" s="2" t="str">
        <f>IFERROR(VLOOKUP(B1084, SOE!F:G, 2, FALSE), "No probado")</f>
        <v>No probado</v>
      </c>
    </row>
    <row r="1085" spans="7:7" x14ac:dyDescent="0.35">
      <c r="G1085" s="2" t="str">
        <f>IFERROR(VLOOKUP(B1085, SOE!F:G, 2, FALSE), "No probado")</f>
        <v>No probado</v>
      </c>
    </row>
    <row r="1086" spans="7:7" x14ac:dyDescent="0.35">
      <c r="G1086" s="2" t="str">
        <f>IFERROR(VLOOKUP(B1086, SOE!F:G, 2, FALSE), "No probado")</f>
        <v>No probado</v>
      </c>
    </row>
    <row r="1087" spans="7:7" x14ac:dyDescent="0.35">
      <c r="G1087" s="2" t="str">
        <f>IFERROR(VLOOKUP(B1087, SOE!F:G, 2, FALSE), "No probado")</f>
        <v>No probado</v>
      </c>
    </row>
    <row r="1088" spans="7:7" x14ac:dyDescent="0.35">
      <c r="G1088" s="2" t="str">
        <f>IFERROR(VLOOKUP(B1088, SOE!F:G, 2, FALSE), "No probado")</f>
        <v>No probado</v>
      </c>
    </row>
    <row r="1089" spans="7:7" x14ac:dyDescent="0.35">
      <c r="G1089" s="2" t="str">
        <f>IFERROR(VLOOKUP(B1089, SOE!F:G, 2, FALSE), "No probado")</f>
        <v>No probado</v>
      </c>
    </row>
    <row r="1090" spans="7:7" x14ac:dyDescent="0.35">
      <c r="G1090" s="2" t="str">
        <f>IFERROR(VLOOKUP(B1090, SOE!F:G, 2, FALSE), "No probado")</f>
        <v>No probado</v>
      </c>
    </row>
    <row r="1091" spans="7:7" x14ac:dyDescent="0.35">
      <c r="G1091" s="2" t="str">
        <f>IFERROR(VLOOKUP(B1091, SOE!F:G, 2, FALSE), "No probado")</f>
        <v>No probado</v>
      </c>
    </row>
    <row r="1092" spans="7:7" x14ac:dyDescent="0.35">
      <c r="G1092" s="2" t="str">
        <f>IFERROR(VLOOKUP(B1092, SOE!F:G, 2, FALSE), "No probado")</f>
        <v>No probado</v>
      </c>
    </row>
    <row r="1093" spans="7:7" x14ac:dyDescent="0.35">
      <c r="G1093" s="2" t="str">
        <f>IFERROR(VLOOKUP(B1093, SOE!F:G, 2, FALSE), "No probado")</f>
        <v>No probado</v>
      </c>
    </row>
    <row r="1094" spans="7:7" x14ac:dyDescent="0.35">
      <c r="G1094" s="2" t="str">
        <f>IFERROR(VLOOKUP(B1094, SOE!F:G, 2, FALSE), "No probado")</f>
        <v>No probado</v>
      </c>
    </row>
    <row r="1095" spans="7:7" x14ac:dyDescent="0.35">
      <c r="G1095" s="2" t="str">
        <f>IFERROR(VLOOKUP(B1095, SOE!F:G, 2, FALSE), "No probado")</f>
        <v>No probado</v>
      </c>
    </row>
    <row r="1096" spans="7:7" x14ac:dyDescent="0.35">
      <c r="G1096" s="2" t="str">
        <f>IFERROR(VLOOKUP(B1096, SOE!F:G, 2, FALSE), "No probado")</f>
        <v>No probado</v>
      </c>
    </row>
    <row r="1097" spans="7:7" x14ac:dyDescent="0.35">
      <c r="G1097" s="2" t="str">
        <f>IFERROR(VLOOKUP(B1097, SOE!F:G, 2, FALSE), "No probado")</f>
        <v>No probado</v>
      </c>
    </row>
    <row r="1098" spans="7:7" x14ac:dyDescent="0.35">
      <c r="G1098" s="2" t="str">
        <f>IFERROR(VLOOKUP(B1098, SOE!F:G, 2, FALSE), "No probado")</f>
        <v>No probado</v>
      </c>
    </row>
    <row r="1099" spans="7:7" x14ac:dyDescent="0.35">
      <c r="G1099" s="2" t="str">
        <f>IFERROR(VLOOKUP(B1099, SOE!F:G, 2, FALSE), "No probado")</f>
        <v>No probado</v>
      </c>
    </row>
    <row r="1100" spans="7:7" x14ac:dyDescent="0.35">
      <c r="G1100" s="2" t="str">
        <f>IFERROR(VLOOKUP(B1100, SOE!F:G, 2, FALSE), "No probado")</f>
        <v>No probado</v>
      </c>
    </row>
    <row r="1101" spans="7:7" x14ac:dyDescent="0.35">
      <c r="G1101" s="2" t="str">
        <f>IFERROR(VLOOKUP(B1101, SOE!F:G, 2, FALSE), "No probado")</f>
        <v>No probado</v>
      </c>
    </row>
    <row r="1102" spans="7:7" x14ac:dyDescent="0.35">
      <c r="G1102" s="2" t="str">
        <f>IFERROR(VLOOKUP(B1102, SOE!F:G, 2, FALSE), "No probado")</f>
        <v>No probado</v>
      </c>
    </row>
    <row r="1103" spans="7:7" x14ac:dyDescent="0.35">
      <c r="G1103" s="2" t="str">
        <f>IFERROR(VLOOKUP(B1103, SOE!F:G, 2, FALSE), "No probado")</f>
        <v>No probado</v>
      </c>
    </row>
    <row r="1104" spans="7:7" x14ac:dyDescent="0.35">
      <c r="G1104" s="2" t="str">
        <f>IFERROR(VLOOKUP(B1104, SOE!F:G, 2, FALSE), "No probado")</f>
        <v>No probado</v>
      </c>
    </row>
    <row r="1105" spans="7:7" x14ac:dyDescent="0.35">
      <c r="G1105" s="2" t="str">
        <f>IFERROR(VLOOKUP(B1105, SOE!F:G, 2, FALSE), "No probado")</f>
        <v>No probado</v>
      </c>
    </row>
    <row r="1106" spans="7:7" x14ac:dyDescent="0.35">
      <c r="G1106" s="2" t="str">
        <f>IFERROR(VLOOKUP(B1106, SOE!F:G, 2, FALSE), "No probado")</f>
        <v>No probado</v>
      </c>
    </row>
    <row r="1107" spans="7:7" x14ac:dyDescent="0.35">
      <c r="G1107" s="2" t="str">
        <f>IFERROR(VLOOKUP(B1107, SOE!F:G, 2, FALSE), "No probado")</f>
        <v>No probado</v>
      </c>
    </row>
    <row r="1108" spans="7:7" x14ac:dyDescent="0.35">
      <c r="G1108" s="2" t="str">
        <f>IFERROR(VLOOKUP(B1108, SOE!F:G, 2, FALSE), "No probado")</f>
        <v>No probado</v>
      </c>
    </row>
    <row r="1109" spans="7:7" x14ac:dyDescent="0.35">
      <c r="G1109" s="2" t="str">
        <f>IFERROR(VLOOKUP(B1109, SOE!F:G, 2, FALSE), "No probado")</f>
        <v>No probado</v>
      </c>
    </row>
    <row r="1110" spans="7:7" x14ac:dyDescent="0.35">
      <c r="G1110" s="2" t="str">
        <f>IFERROR(VLOOKUP(B1110, SOE!F:G, 2, FALSE), "No probado")</f>
        <v>No probado</v>
      </c>
    </row>
    <row r="1111" spans="7:7" x14ac:dyDescent="0.35">
      <c r="G1111" s="2" t="str">
        <f>IFERROR(VLOOKUP(B1111, SOE!F:G, 2, FALSE), "No probado")</f>
        <v>No probado</v>
      </c>
    </row>
    <row r="1112" spans="7:7" x14ac:dyDescent="0.35">
      <c r="G1112" s="2" t="str">
        <f>IFERROR(VLOOKUP(B1112, SOE!F:G, 2, FALSE), "No probado")</f>
        <v>No probado</v>
      </c>
    </row>
    <row r="1113" spans="7:7" x14ac:dyDescent="0.35">
      <c r="G1113" s="2" t="str">
        <f>IFERROR(VLOOKUP(B1113, SOE!F:G, 2, FALSE), "No probado")</f>
        <v>No probado</v>
      </c>
    </row>
    <row r="1114" spans="7:7" x14ac:dyDescent="0.35">
      <c r="G1114" s="2" t="str">
        <f>IFERROR(VLOOKUP(B1114, SOE!F:G, 2, FALSE), "No probado")</f>
        <v>No probado</v>
      </c>
    </row>
    <row r="1115" spans="7:7" x14ac:dyDescent="0.35">
      <c r="G1115" s="2" t="str">
        <f>IFERROR(VLOOKUP(B1115, SOE!F:G, 2, FALSE), "No probado")</f>
        <v>No probado</v>
      </c>
    </row>
    <row r="1116" spans="7:7" x14ac:dyDescent="0.35">
      <c r="G1116" s="2" t="str">
        <f>IFERROR(VLOOKUP(B1116, SOE!F:G, 2, FALSE), "No probado")</f>
        <v>No probado</v>
      </c>
    </row>
    <row r="1117" spans="7:7" x14ac:dyDescent="0.35">
      <c r="G1117" s="2" t="str">
        <f>IFERROR(VLOOKUP(B1117, SOE!F:G, 2, FALSE), "No probado")</f>
        <v>No probado</v>
      </c>
    </row>
    <row r="1118" spans="7:7" x14ac:dyDescent="0.35">
      <c r="G1118" s="2" t="str">
        <f>IFERROR(VLOOKUP(B1118, SOE!F:G, 2, FALSE), "No probado")</f>
        <v>No probado</v>
      </c>
    </row>
    <row r="1119" spans="7:7" x14ac:dyDescent="0.35">
      <c r="G1119" s="2" t="str">
        <f>IFERROR(VLOOKUP(B1119, SOE!F:G, 2, FALSE), "No probado")</f>
        <v>No probado</v>
      </c>
    </row>
    <row r="1120" spans="7:7" x14ac:dyDescent="0.35">
      <c r="G1120" s="2" t="str">
        <f>IFERROR(VLOOKUP(B1120, SOE!F:G, 2, FALSE), "No probado")</f>
        <v>No probado</v>
      </c>
    </row>
    <row r="1121" spans="7:7" x14ac:dyDescent="0.35">
      <c r="G1121" s="2" t="str">
        <f>IFERROR(VLOOKUP(B1121, SOE!F:G, 2, FALSE), "No probado")</f>
        <v>No probado</v>
      </c>
    </row>
    <row r="1122" spans="7:7" x14ac:dyDescent="0.35">
      <c r="G1122" s="2" t="str">
        <f>IFERROR(VLOOKUP(B1122, SOE!F:G, 2, FALSE), "No probado")</f>
        <v>No probado</v>
      </c>
    </row>
    <row r="1123" spans="7:7" x14ac:dyDescent="0.35">
      <c r="G1123" s="2" t="str">
        <f>IFERROR(VLOOKUP(B1123, SOE!F:G, 2, FALSE), "No probado")</f>
        <v>No probado</v>
      </c>
    </row>
    <row r="1124" spans="7:7" x14ac:dyDescent="0.35">
      <c r="G1124" s="2" t="str">
        <f>IFERROR(VLOOKUP(B1124, SOE!F:G, 2, FALSE), "No probado")</f>
        <v>No probado</v>
      </c>
    </row>
    <row r="1125" spans="7:7" x14ac:dyDescent="0.35">
      <c r="G1125" s="2" t="str">
        <f>IFERROR(VLOOKUP(B1125, SOE!F:G, 2, FALSE), "No probado")</f>
        <v>No probado</v>
      </c>
    </row>
    <row r="1126" spans="7:7" x14ac:dyDescent="0.35">
      <c r="G1126" s="2" t="str">
        <f>IFERROR(VLOOKUP(B1126, SOE!F:G, 2, FALSE), "No probado")</f>
        <v>No probado</v>
      </c>
    </row>
    <row r="1127" spans="7:7" x14ac:dyDescent="0.35">
      <c r="G1127" s="2" t="str">
        <f>IFERROR(VLOOKUP(B1127, SOE!F:G, 2, FALSE), "No probado")</f>
        <v>No probado</v>
      </c>
    </row>
    <row r="1128" spans="7:7" x14ac:dyDescent="0.35">
      <c r="G1128" s="2" t="str">
        <f>IFERROR(VLOOKUP(B1128, SOE!F:G, 2, FALSE), "No probado")</f>
        <v>No probado</v>
      </c>
    </row>
    <row r="1129" spans="7:7" x14ac:dyDescent="0.35">
      <c r="G1129" s="2" t="str">
        <f>IFERROR(VLOOKUP(B1129, SOE!F:G, 2, FALSE), "No probado")</f>
        <v>No probado</v>
      </c>
    </row>
    <row r="1130" spans="7:7" x14ac:dyDescent="0.35">
      <c r="G1130" s="2" t="str">
        <f>IFERROR(VLOOKUP(B1130, SOE!F:G, 2, FALSE), "No probado")</f>
        <v>No probado</v>
      </c>
    </row>
    <row r="1131" spans="7:7" x14ac:dyDescent="0.35">
      <c r="G1131" s="2" t="str">
        <f>IFERROR(VLOOKUP(B1131, SOE!F:G, 2, FALSE), "No probado")</f>
        <v>No probado</v>
      </c>
    </row>
    <row r="1132" spans="7:7" x14ac:dyDescent="0.35">
      <c r="G1132" s="2" t="str">
        <f>IFERROR(VLOOKUP(B1132, SOE!F:G, 2, FALSE), "No probado")</f>
        <v>No probado</v>
      </c>
    </row>
    <row r="1133" spans="7:7" x14ac:dyDescent="0.35">
      <c r="G1133" s="2" t="str">
        <f>IFERROR(VLOOKUP(B1133, SOE!F:G, 2, FALSE), "No probado")</f>
        <v>No probado</v>
      </c>
    </row>
    <row r="1134" spans="7:7" x14ac:dyDescent="0.35">
      <c r="G1134" s="2" t="str">
        <f>IFERROR(VLOOKUP(B1134, SOE!F:G, 2, FALSE), "No probado")</f>
        <v>No probado</v>
      </c>
    </row>
    <row r="1135" spans="7:7" x14ac:dyDescent="0.35">
      <c r="G1135" s="2" t="str">
        <f>IFERROR(VLOOKUP(B1135, SOE!F:G, 2, FALSE), "No probado")</f>
        <v>No probado</v>
      </c>
    </row>
    <row r="1136" spans="7:7" x14ac:dyDescent="0.35">
      <c r="G1136" s="2" t="str">
        <f>IFERROR(VLOOKUP(B1136, SOE!F:G, 2, FALSE), "No probado")</f>
        <v>No probado</v>
      </c>
    </row>
    <row r="1137" spans="7:7" x14ac:dyDescent="0.35">
      <c r="G1137" s="2" t="str">
        <f>IFERROR(VLOOKUP(B1137, SOE!F:G, 2, FALSE), "No probado")</f>
        <v>No probado</v>
      </c>
    </row>
    <row r="1138" spans="7:7" x14ac:dyDescent="0.35">
      <c r="G1138" s="2" t="str">
        <f>IFERROR(VLOOKUP(B1138, SOE!F:G, 2, FALSE), "No probado")</f>
        <v>No probado</v>
      </c>
    </row>
    <row r="1139" spans="7:7" x14ac:dyDescent="0.35">
      <c r="G1139" s="2" t="str">
        <f>IFERROR(VLOOKUP(B1139, SOE!F:G, 2, FALSE), "No probado")</f>
        <v>No probado</v>
      </c>
    </row>
    <row r="1140" spans="7:7" x14ac:dyDescent="0.35">
      <c r="G1140" s="2" t="str">
        <f>IFERROR(VLOOKUP(B1140, SOE!F:G, 2, FALSE), "No probado")</f>
        <v>No probado</v>
      </c>
    </row>
    <row r="1141" spans="7:7" x14ac:dyDescent="0.35">
      <c r="G1141" s="2" t="str">
        <f>IFERROR(VLOOKUP(B1141, SOE!F:G, 2, FALSE), "No probado")</f>
        <v>No probado</v>
      </c>
    </row>
    <row r="1142" spans="7:7" x14ac:dyDescent="0.35">
      <c r="G1142" s="2" t="str">
        <f>IFERROR(VLOOKUP(B1142, SOE!F:G, 2, FALSE), "No probado")</f>
        <v>No probado</v>
      </c>
    </row>
    <row r="1143" spans="7:7" x14ac:dyDescent="0.35">
      <c r="G1143" s="2" t="str">
        <f>IFERROR(VLOOKUP(B1143, SOE!F:G, 2, FALSE), "No probado")</f>
        <v>No probado</v>
      </c>
    </row>
    <row r="1144" spans="7:7" x14ac:dyDescent="0.35">
      <c r="G1144" s="2" t="str">
        <f>IFERROR(VLOOKUP(B1144, SOE!F:G, 2, FALSE), "No probado")</f>
        <v>No probado</v>
      </c>
    </row>
    <row r="1145" spans="7:7" x14ac:dyDescent="0.35">
      <c r="G1145" s="2" t="str">
        <f>IFERROR(VLOOKUP(B1145, SOE!F:G, 2, FALSE), "No probado")</f>
        <v>No probado</v>
      </c>
    </row>
    <row r="1146" spans="7:7" x14ac:dyDescent="0.35">
      <c r="G1146" s="2" t="str">
        <f>IFERROR(VLOOKUP(B1146, SOE!F:G, 2, FALSE), "No probado")</f>
        <v>No probado</v>
      </c>
    </row>
    <row r="1147" spans="7:7" x14ac:dyDescent="0.35">
      <c r="G1147" s="2" t="str">
        <f>IFERROR(VLOOKUP(B1147, SOE!F:G, 2, FALSE), "No probado")</f>
        <v>No probado</v>
      </c>
    </row>
    <row r="1148" spans="7:7" x14ac:dyDescent="0.35">
      <c r="G1148" s="2" t="str">
        <f>IFERROR(VLOOKUP(B1148, SOE!F:G, 2, FALSE), "No probado")</f>
        <v>No probado</v>
      </c>
    </row>
    <row r="1149" spans="7:7" x14ac:dyDescent="0.35">
      <c r="G1149" s="2" t="str">
        <f>IFERROR(VLOOKUP(B1149, SOE!F:G, 2, FALSE), "No probado")</f>
        <v>No probado</v>
      </c>
    </row>
    <row r="1150" spans="7:7" x14ac:dyDescent="0.35">
      <c r="G1150" s="2" t="str">
        <f>IFERROR(VLOOKUP(B1150, SOE!F:G, 2, FALSE), "No probado")</f>
        <v>No probado</v>
      </c>
    </row>
    <row r="1151" spans="7:7" x14ac:dyDescent="0.35">
      <c r="G1151" s="2" t="str">
        <f>IFERROR(VLOOKUP(B1151, SOE!F:G, 2, FALSE), "No probado")</f>
        <v>No probado</v>
      </c>
    </row>
    <row r="1152" spans="7:7" x14ac:dyDescent="0.35">
      <c r="G1152" s="2" t="str">
        <f>IFERROR(VLOOKUP(B1152, SOE!F:G, 2, FALSE), "No probado")</f>
        <v>No probado</v>
      </c>
    </row>
    <row r="1153" spans="7:7" x14ac:dyDescent="0.35">
      <c r="G1153" s="2" t="str">
        <f>IFERROR(VLOOKUP(B1153, SOE!F:G, 2, FALSE), "No probado")</f>
        <v>No probado</v>
      </c>
    </row>
    <row r="1154" spans="7:7" x14ac:dyDescent="0.35">
      <c r="G1154" s="2" t="str">
        <f>IFERROR(VLOOKUP(B1154, SOE!F:G, 2, FALSE), "No probado")</f>
        <v>No probado</v>
      </c>
    </row>
    <row r="1155" spans="7:7" x14ac:dyDescent="0.35">
      <c r="G1155" s="2" t="str">
        <f>IFERROR(VLOOKUP(B1155, SOE!F:G, 2, FALSE), "No probado")</f>
        <v>No probado</v>
      </c>
    </row>
    <row r="1156" spans="7:7" x14ac:dyDescent="0.35">
      <c r="G1156" s="2" t="str">
        <f>IFERROR(VLOOKUP(B1156, SOE!F:G, 2, FALSE), "No probado")</f>
        <v>No probado</v>
      </c>
    </row>
    <row r="1157" spans="7:7" x14ac:dyDescent="0.35">
      <c r="G1157" s="2" t="str">
        <f>IFERROR(VLOOKUP(B1157, SOE!F:G, 2, FALSE), "No probado")</f>
        <v>No probado</v>
      </c>
    </row>
    <row r="1158" spans="7:7" x14ac:dyDescent="0.35">
      <c r="G1158" s="2" t="str">
        <f>IFERROR(VLOOKUP(B1158, SOE!F:G, 2, FALSE), "No probado")</f>
        <v>No probado</v>
      </c>
    </row>
    <row r="1159" spans="7:7" x14ac:dyDescent="0.35">
      <c r="G1159" s="2" t="str">
        <f>IFERROR(VLOOKUP(B1159, SOE!F:G, 2, FALSE), "No probado")</f>
        <v>No probado</v>
      </c>
    </row>
    <row r="1160" spans="7:7" x14ac:dyDescent="0.35">
      <c r="G1160" s="2" t="str">
        <f>IFERROR(VLOOKUP(B1160, SOE!F:G, 2, FALSE), "No probado")</f>
        <v>No probado</v>
      </c>
    </row>
    <row r="1161" spans="7:7" x14ac:dyDescent="0.35">
      <c r="G1161" s="2" t="str">
        <f>IFERROR(VLOOKUP(B1161, SOE!F:G, 2, FALSE), "No probado")</f>
        <v>No probado</v>
      </c>
    </row>
    <row r="1162" spans="7:7" x14ac:dyDescent="0.35">
      <c r="G1162" s="2" t="str">
        <f>IFERROR(VLOOKUP(B1162, SOE!F:G, 2, FALSE), "No probado")</f>
        <v>No probado</v>
      </c>
    </row>
    <row r="1163" spans="7:7" x14ac:dyDescent="0.35">
      <c r="G1163" s="2" t="str">
        <f>IFERROR(VLOOKUP(B1163, SOE!F:G, 2, FALSE), "No probado")</f>
        <v>No probado</v>
      </c>
    </row>
    <row r="1164" spans="7:7" x14ac:dyDescent="0.35">
      <c r="G1164" s="2" t="str">
        <f>IFERROR(VLOOKUP(B1164, SOE!F:G, 2, FALSE), "No probado")</f>
        <v>No probado</v>
      </c>
    </row>
    <row r="1165" spans="7:7" x14ac:dyDescent="0.35">
      <c r="G1165" s="2" t="str">
        <f>IFERROR(VLOOKUP(B1165, SOE!F:G, 2, FALSE), "No probado")</f>
        <v>No probado</v>
      </c>
    </row>
    <row r="1166" spans="7:7" x14ac:dyDescent="0.35">
      <c r="G1166" s="2" t="str">
        <f>IFERROR(VLOOKUP(B1166, SOE!F:G, 2, FALSE), "No probado")</f>
        <v>No probado</v>
      </c>
    </row>
    <row r="1167" spans="7:7" x14ac:dyDescent="0.35">
      <c r="G1167" s="2" t="str">
        <f>IFERROR(VLOOKUP(B1167, SOE!F:G, 2, FALSE), "No probado")</f>
        <v>No probado</v>
      </c>
    </row>
    <row r="1168" spans="7:7" x14ac:dyDescent="0.35">
      <c r="G1168" s="2" t="str">
        <f>IFERROR(VLOOKUP(B1168, SOE!F:G, 2, FALSE), "No probado")</f>
        <v>No probado</v>
      </c>
    </row>
    <row r="1169" spans="7:7" x14ac:dyDescent="0.35">
      <c r="G1169" s="2" t="str">
        <f>IFERROR(VLOOKUP(B1169, SOE!F:G, 2, FALSE), "No probado")</f>
        <v>No probado</v>
      </c>
    </row>
    <row r="1170" spans="7:7" x14ac:dyDescent="0.35">
      <c r="G1170" s="2" t="str">
        <f>IFERROR(VLOOKUP(B1170, SOE!F:G, 2, FALSE), "No probado")</f>
        <v>No probado</v>
      </c>
    </row>
    <row r="1171" spans="7:7" x14ac:dyDescent="0.35">
      <c r="G1171" s="2" t="str">
        <f>IFERROR(VLOOKUP(B1171, SOE!F:G, 2, FALSE), "No probado")</f>
        <v>No probado</v>
      </c>
    </row>
    <row r="1172" spans="7:7" x14ac:dyDescent="0.35">
      <c r="G1172" s="2" t="str">
        <f>IFERROR(VLOOKUP(B1172, SOE!F:G, 2, FALSE), "No probado")</f>
        <v>No probado</v>
      </c>
    </row>
    <row r="1173" spans="7:7" x14ac:dyDescent="0.35">
      <c r="G1173" s="2" t="str">
        <f>IFERROR(VLOOKUP(B1173, SOE!F:G, 2, FALSE), "No probado")</f>
        <v>No probado</v>
      </c>
    </row>
    <row r="1174" spans="7:7" x14ac:dyDescent="0.35">
      <c r="G1174" s="2" t="str">
        <f>IFERROR(VLOOKUP(B1174, SOE!F:G, 2, FALSE), "No probado")</f>
        <v>No probado</v>
      </c>
    </row>
    <row r="1175" spans="7:7" x14ac:dyDescent="0.35">
      <c r="G1175" s="2" t="str">
        <f>IFERROR(VLOOKUP(B1175, SOE!F:G, 2, FALSE), "No probado")</f>
        <v>No probado</v>
      </c>
    </row>
    <row r="1176" spans="7:7" x14ac:dyDescent="0.35">
      <c r="G1176" s="2" t="str">
        <f>IFERROR(VLOOKUP(B1176, SOE!F:G, 2, FALSE), "No probado")</f>
        <v>No probado</v>
      </c>
    </row>
    <row r="1177" spans="7:7" x14ac:dyDescent="0.35">
      <c r="G1177" s="2" t="str">
        <f>IFERROR(VLOOKUP(B1177, SOE!F:G, 2, FALSE), "No probado")</f>
        <v>No probado</v>
      </c>
    </row>
    <row r="1178" spans="7:7" x14ac:dyDescent="0.35">
      <c r="G1178" s="2" t="str">
        <f>IFERROR(VLOOKUP(B1178, SOE!F:G, 2, FALSE), "No probado")</f>
        <v>No probado</v>
      </c>
    </row>
    <row r="1179" spans="7:7" x14ac:dyDescent="0.35">
      <c r="G1179" s="2" t="str">
        <f>IFERROR(VLOOKUP(B1179, SOE!F:G, 2, FALSE), "No probado")</f>
        <v>No probado</v>
      </c>
    </row>
    <row r="1180" spans="7:7" x14ac:dyDescent="0.35">
      <c r="G1180" s="2" t="str">
        <f>IFERROR(VLOOKUP(B1180, SOE!F:G, 2, FALSE), "No probado")</f>
        <v>No probado</v>
      </c>
    </row>
    <row r="1181" spans="7:7" x14ac:dyDescent="0.35">
      <c r="G1181" s="2" t="str">
        <f>IFERROR(VLOOKUP(B1181, SOE!F:G, 2, FALSE), "No probado")</f>
        <v>No probado</v>
      </c>
    </row>
    <row r="1182" spans="7:7" x14ac:dyDescent="0.35">
      <c r="G1182" s="2" t="str">
        <f>IFERROR(VLOOKUP(B1182, SOE!F:G, 2, FALSE), "No probado")</f>
        <v>No probado</v>
      </c>
    </row>
    <row r="1183" spans="7:7" x14ac:dyDescent="0.35">
      <c r="G1183" s="2" t="str">
        <f>IFERROR(VLOOKUP(B1183, SOE!F:G, 2, FALSE), "No probado")</f>
        <v>No probado</v>
      </c>
    </row>
    <row r="1184" spans="7:7" x14ac:dyDescent="0.35">
      <c r="G1184" s="2" t="str">
        <f>IFERROR(VLOOKUP(B1184, SOE!F:G, 2, FALSE), "No probado")</f>
        <v>No probado</v>
      </c>
    </row>
    <row r="1185" spans="7:7" x14ac:dyDescent="0.35">
      <c r="G1185" s="2" t="str">
        <f>IFERROR(VLOOKUP(B1185, SOE!F:G, 2, FALSE), "No probado")</f>
        <v>No probado</v>
      </c>
    </row>
    <row r="1186" spans="7:7" x14ac:dyDescent="0.35">
      <c r="G1186" s="2" t="str">
        <f>IFERROR(VLOOKUP(B1186, SOE!F:G, 2, FALSE), "No probado")</f>
        <v>No probado</v>
      </c>
    </row>
    <row r="1187" spans="7:7" x14ac:dyDescent="0.35">
      <c r="G1187" s="2" t="str">
        <f>IFERROR(VLOOKUP(B1187, SOE!F:G, 2, FALSE), "No probado")</f>
        <v>No probado</v>
      </c>
    </row>
    <row r="1188" spans="7:7" x14ac:dyDescent="0.35">
      <c r="G1188" s="2" t="str">
        <f>IFERROR(VLOOKUP(B1188, SOE!F:G, 2, FALSE), "No probado")</f>
        <v>No probado</v>
      </c>
    </row>
    <row r="1189" spans="7:7" x14ac:dyDescent="0.35">
      <c r="G1189" s="2" t="str">
        <f>IFERROR(VLOOKUP(B1189, SOE!F:G, 2, FALSE), "No probado")</f>
        <v>No probado</v>
      </c>
    </row>
    <row r="1190" spans="7:7" x14ac:dyDescent="0.35">
      <c r="G1190" s="2" t="str">
        <f>IFERROR(VLOOKUP(B1190, SOE!F:G, 2, FALSE), "No probado")</f>
        <v>No probado</v>
      </c>
    </row>
    <row r="1191" spans="7:7" x14ac:dyDescent="0.35">
      <c r="G1191" s="2" t="str">
        <f>IFERROR(VLOOKUP(B1191, SOE!F:G, 2, FALSE), "No probado")</f>
        <v>No probado</v>
      </c>
    </row>
    <row r="1192" spans="7:7" x14ac:dyDescent="0.35">
      <c r="G1192" s="2" t="str">
        <f>IFERROR(VLOOKUP(B1192, SOE!F:G, 2, FALSE), "No probado")</f>
        <v>No probado</v>
      </c>
    </row>
    <row r="1193" spans="7:7" x14ac:dyDescent="0.35">
      <c r="G1193" s="2" t="str">
        <f>IFERROR(VLOOKUP(B1193, SOE!F:G, 2, FALSE), "No probado")</f>
        <v>No probado</v>
      </c>
    </row>
    <row r="1194" spans="7:7" x14ac:dyDescent="0.35">
      <c r="G1194" s="2" t="str">
        <f>IFERROR(VLOOKUP(B1194, SOE!F:G, 2, FALSE), "No probado")</f>
        <v>No probado</v>
      </c>
    </row>
    <row r="1195" spans="7:7" x14ac:dyDescent="0.35">
      <c r="G1195" s="2" t="str">
        <f>IFERROR(VLOOKUP(B1195, SOE!F:G, 2, FALSE), "No probado")</f>
        <v>No probado</v>
      </c>
    </row>
    <row r="1196" spans="7:7" x14ac:dyDescent="0.35">
      <c r="G1196" s="2" t="str">
        <f>IFERROR(VLOOKUP(B1196, SOE!F:G, 2, FALSE), "No probado")</f>
        <v>No probado</v>
      </c>
    </row>
    <row r="1197" spans="7:7" x14ac:dyDescent="0.35">
      <c r="G1197" s="2" t="str">
        <f>IFERROR(VLOOKUP(B1197, SOE!F:G, 2, FALSE), "No probado")</f>
        <v>No probado</v>
      </c>
    </row>
    <row r="1198" spans="7:7" x14ac:dyDescent="0.35">
      <c r="G1198" s="2" t="str">
        <f>IFERROR(VLOOKUP(B1198, SOE!F:G, 2, FALSE), "No probado")</f>
        <v>No probado</v>
      </c>
    </row>
    <row r="1199" spans="7:7" x14ac:dyDescent="0.35">
      <c r="G1199" s="2" t="str">
        <f>IFERROR(VLOOKUP(B1199, SOE!F:G, 2, FALSE), "No probado")</f>
        <v>No probado</v>
      </c>
    </row>
    <row r="1200" spans="7:7" x14ac:dyDescent="0.35">
      <c r="G1200" s="2" t="str">
        <f>IFERROR(VLOOKUP(B1200, SOE!F:G, 2, FALSE), "No probado")</f>
        <v>No probado</v>
      </c>
    </row>
    <row r="1201" spans="7:7" x14ac:dyDescent="0.35">
      <c r="G1201" s="2" t="str">
        <f>IFERROR(VLOOKUP(B1201, SOE!F:G, 2, FALSE), "No probado")</f>
        <v>No probado</v>
      </c>
    </row>
    <row r="1202" spans="7:7" x14ac:dyDescent="0.35">
      <c r="G1202" s="2" t="str">
        <f>IFERROR(VLOOKUP(B1202, SOE!F:G, 2, FALSE), "No probado")</f>
        <v>No probado</v>
      </c>
    </row>
    <row r="1203" spans="7:7" x14ac:dyDescent="0.35">
      <c r="G1203" s="2" t="str">
        <f>IFERROR(VLOOKUP(B1203, SOE!F:G, 2, FALSE), "No probado")</f>
        <v>No probado</v>
      </c>
    </row>
    <row r="1204" spans="7:7" x14ac:dyDescent="0.35">
      <c r="G1204" s="2" t="str">
        <f>IFERROR(VLOOKUP(B1204, SOE!F:G, 2, FALSE), "No probado")</f>
        <v>No probado</v>
      </c>
    </row>
    <row r="1205" spans="7:7" x14ac:dyDescent="0.35">
      <c r="G1205" s="2" t="str">
        <f>IFERROR(VLOOKUP(B1205, SOE!F:G, 2, FALSE), "No probado")</f>
        <v>No probado</v>
      </c>
    </row>
    <row r="1206" spans="7:7" x14ac:dyDescent="0.35">
      <c r="G1206" s="2" t="str">
        <f>IFERROR(VLOOKUP(B1206, SOE!F:G, 2, FALSE), "No probado")</f>
        <v>No probado</v>
      </c>
    </row>
    <row r="1207" spans="7:7" x14ac:dyDescent="0.35">
      <c r="G1207" s="2" t="str">
        <f>IFERROR(VLOOKUP(B1207, SOE!F:G, 2, FALSE), "No probado")</f>
        <v>No probado</v>
      </c>
    </row>
    <row r="1208" spans="7:7" x14ac:dyDescent="0.35">
      <c r="G1208" s="2" t="str">
        <f>IFERROR(VLOOKUP(B1208, SOE!F:G, 2, FALSE), "No probado")</f>
        <v>No probado</v>
      </c>
    </row>
    <row r="1209" spans="7:7" x14ac:dyDescent="0.35">
      <c r="G1209" s="2" t="str">
        <f>IFERROR(VLOOKUP(B1209, SOE!F:G, 2, FALSE), "No probado")</f>
        <v>No probado</v>
      </c>
    </row>
    <row r="1210" spans="7:7" x14ac:dyDescent="0.35">
      <c r="G1210" s="2" t="str">
        <f>IFERROR(VLOOKUP(B1210, SOE!F:G, 2, FALSE), "No probado")</f>
        <v>No probado</v>
      </c>
    </row>
    <row r="1211" spans="7:7" x14ac:dyDescent="0.35">
      <c r="G1211" s="2" t="str">
        <f>IFERROR(VLOOKUP(B1211, SOE!F:G, 2, FALSE), "No probado")</f>
        <v>No probado</v>
      </c>
    </row>
    <row r="1212" spans="7:7" x14ac:dyDescent="0.35">
      <c r="G1212" s="2" t="str">
        <f>IFERROR(VLOOKUP(B1212, SOE!F:G, 2, FALSE), "No probado")</f>
        <v>No probado</v>
      </c>
    </row>
    <row r="1213" spans="7:7" x14ac:dyDescent="0.35">
      <c r="G1213" s="2" t="str">
        <f>IFERROR(VLOOKUP(B1213, SOE!F:G, 2, FALSE), "No probado")</f>
        <v>No probado</v>
      </c>
    </row>
    <row r="1214" spans="7:7" x14ac:dyDescent="0.35">
      <c r="G1214" s="2" t="str">
        <f>IFERROR(VLOOKUP(B1214, SOE!F:G, 2, FALSE), "No probado")</f>
        <v>No probado</v>
      </c>
    </row>
    <row r="1215" spans="7:7" x14ac:dyDescent="0.35">
      <c r="G1215" s="2" t="str">
        <f>IFERROR(VLOOKUP(B1215, SOE!F:G, 2, FALSE), "No probado")</f>
        <v>No probado</v>
      </c>
    </row>
    <row r="1216" spans="7:7" x14ac:dyDescent="0.35">
      <c r="G1216" s="2" t="str">
        <f>IFERROR(VLOOKUP(B1216, SOE!F:G, 2, FALSE), "No probado")</f>
        <v>No probado</v>
      </c>
    </row>
    <row r="1217" spans="7:7" x14ac:dyDescent="0.35">
      <c r="G1217" s="2" t="str">
        <f>IFERROR(VLOOKUP(B1217, SOE!F:G, 2, FALSE), "No probado")</f>
        <v>No probado</v>
      </c>
    </row>
    <row r="1218" spans="7:7" x14ac:dyDescent="0.35">
      <c r="G1218" s="2" t="str">
        <f>IFERROR(VLOOKUP(B1218, SOE!F:G, 2, FALSE), "No probado")</f>
        <v>No probado</v>
      </c>
    </row>
    <row r="1219" spans="7:7" x14ac:dyDescent="0.35">
      <c r="G1219" s="2" t="str">
        <f>IFERROR(VLOOKUP(B1219, SOE!F:G, 2, FALSE), "No probado")</f>
        <v>No probado</v>
      </c>
    </row>
    <row r="1220" spans="7:7" x14ac:dyDescent="0.35">
      <c r="G1220" s="2" t="str">
        <f>IFERROR(VLOOKUP(B1220, SOE!F:G, 2, FALSE), "No probado")</f>
        <v>No probado</v>
      </c>
    </row>
    <row r="1221" spans="7:7" x14ac:dyDescent="0.35">
      <c r="G1221" s="2" t="str">
        <f>IFERROR(VLOOKUP(B1221, SOE!F:G, 2, FALSE), "No probado")</f>
        <v>No probado</v>
      </c>
    </row>
    <row r="1222" spans="7:7" x14ac:dyDescent="0.35">
      <c r="G1222" s="2" t="str">
        <f>IFERROR(VLOOKUP(B1222, SOE!F:G, 2, FALSE), "No probado")</f>
        <v>No probado</v>
      </c>
    </row>
    <row r="1223" spans="7:7" x14ac:dyDescent="0.35">
      <c r="G1223" s="2" t="str">
        <f>IFERROR(VLOOKUP(B1223, SOE!F:G, 2, FALSE), "No probado")</f>
        <v>No probado</v>
      </c>
    </row>
    <row r="1224" spans="7:7" x14ac:dyDescent="0.35">
      <c r="G1224" s="2" t="str">
        <f>IFERROR(VLOOKUP(B1224, SOE!F:G, 2, FALSE), "No probado")</f>
        <v>No probado</v>
      </c>
    </row>
    <row r="1225" spans="7:7" x14ac:dyDescent="0.35">
      <c r="G1225" s="2" t="str">
        <f>IFERROR(VLOOKUP(B1225, SOE!F:G, 2, FALSE), "No probado")</f>
        <v>No probado</v>
      </c>
    </row>
    <row r="1226" spans="7:7" x14ac:dyDescent="0.35">
      <c r="G1226" s="2" t="str">
        <f>IFERROR(VLOOKUP(B1226, SOE!F:G, 2, FALSE), "No probado")</f>
        <v>No probado</v>
      </c>
    </row>
    <row r="1227" spans="7:7" x14ac:dyDescent="0.35">
      <c r="G1227" s="2" t="str">
        <f>IFERROR(VLOOKUP(B1227, SOE!F:G, 2, FALSE), "No probado")</f>
        <v>No probado</v>
      </c>
    </row>
    <row r="1228" spans="7:7" x14ac:dyDescent="0.35">
      <c r="G1228" s="2" t="str">
        <f>IFERROR(VLOOKUP(B1228, SOE!F:G, 2, FALSE), "No probado")</f>
        <v>No probado</v>
      </c>
    </row>
    <row r="1229" spans="7:7" x14ac:dyDescent="0.35">
      <c r="G1229" s="2" t="str">
        <f>IFERROR(VLOOKUP(B1229, SOE!F:G, 2, FALSE), "No probado")</f>
        <v>No probado</v>
      </c>
    </row>
    <row r="1230" spans="7:7" x14ac:dyDescent="0.35">
      <c r="G1230" s="2" t="str">
        <f>IFERROR(VLOOKUP(B1230, SOE!F:G, 2, FALSE), "No probado")</f>
        <v>No probado</v>
      </c>
    </row>
    <row r="1231" spans="7:7" x14ac:dyDescent="0.35">
      <c r="G1231" s="2" t="str">
        <f>IFERROR(VLOOKUP(B1231, SOE!F:G, 2, FALSE), "No probado")</f>
        <v>No probado</v>
      </c>
    </row>
    <row r="1232" spans="7:7" x14ac:dyDescent="0.35">
      <c r="G1232" s="2" t="str">
        <f>IFERROR(VLOOKUP(B1232, SOE!F:G, 2, FALSE), "No probado")</f>
        <v>No probado</v>
      </c>
    </row>
    <row r="1233" spans="7:7" x14ac:dyDescent="0.35">
      <c r="G1233" s="2" t="str">
        <f>IFERROR(VLOOKUP(B1233, SOE!F:G, 2, FALSE), "No probado")</f>
        <v>No probado</v>
      </c>
    </row>
    <row r="1234" spans="7:7" x14ac:dyDescent="0.35">
      <c r="G1234" s="2" t="str">
        <f>IFERROR(VLOOKUP(B1234, SOE!F:G, 2, FALSE), "No probado")</f>
        <v>No probado</v>
      </c>
    </row>
    <row r="1235" spans="7:7" x14ac:dyDescent="0.35">
      <c r="G1235" s="2" t="str">
        <f>IFERROR(VLOOKUP(B1235, SOE!F:G, 2, FALSE), "No probado")</f>
        <v>No probado</v>
      </c>
    </row>
    <row r="1236" spans="7:7" x14ac:dyDescent="0.35">
      <c r="G1236" s="2" t="str">
        <f>IFERROR(VLOOKUP(B1236, SOE!F:G, 2, FALSE), "No probado")</f>
        <v>No probado</v>
      </c>
    </row>
    <row r="1237" spans="7:7" x14ac:dyDescent="0.35">
      <c r="G1237" s="2" t="str">
        <f>IFERROR(VLOOKUP(B1237, SOE!F:G, 2, FALSE), "No probado")</f>
        <v>No probado</v>
      </c>
    </row>
    <row r="1238" spans="7:7" x14ac:dyDescent="0.35">
      <c r="G1238" s="2" t="str">
        <f>IFERROR(VLOOKUP(B1238, SOE!F:G, 2, FALSE), "No probado")</f>
        <v>No probado</v>
      </c>
    </row>
    <row r="1239" spans="7:7" x14ac:dyDescent="0.35">
      <c r="G1239" s="2" t="str">
        <f>IFERROR(VLOOKUP(B1239, SOE!F:G, 2, FALSE), "No probado")</f>
        <v>No probado</v>
      </c>
    </row>
    <row r="1240" spans="7:7" x14ac:dyDescent="0.35">
      <c r="G1240" s="2" t="str">
        <f>IFERROR(VLOOKUP(B1240, SOE!F:G, 2, FALSE), "No probado")</f>
        <v>No probado</v>
      </c>
    </row>
    <row r="1241" spans="7:7" x14ac:dyDescent="0.35">
      <c r="G1241" s="2" t="str">
        <f>IFERROR(VLOOKUP(B1241, SOE!F:G, 2, FALSE), "No probado")</f>
        <v>No probado</v>
      </c>
    </row>
    <row r="1242" spans="7:7" x14ac:dyDescent="0.35">
      <c r="G1242" s="2" t="str">
        <f>IFERROR(VLOOKUP(B1242, SOE!F:G, 2, FALSE), "No probado")</f>
        <v>No probado</v>
      </c>
    </row>
    <row r="1243" spans="7:7" x14ac:dyDescent="0.35">
      <c r="G1243" s="2" t="str">
        <f>IFERROR(VLOOKUP(B1243, SOE!F:G, 2, FALSE), "No probado")</f>
        <v>No probado</v>
      </c>
    </row>
    <row r="1244" spans="7:7" x14ac:dyDescent="0.35">
      <c r="G1244" s="2" t="str">
        <f>IFERROR(VLOOKUP(B1244, SOE!F:G, 2, FALSE), "No probado")</f>
        <v>No probado</v>
      </c>
    </row>
    <row r="1245" spans="7:7" x14ac:dyDescent="0.35">
      <c r="G1245" s="2" t="str">
        <f>IFERROR(VLOOKUP(B1245, SOE!F:G, 2, FALSE), "No probado")</f>
        <v>No probado</v>
      </c>
    </row>
    <row r="1246" spans="7:7" x14ac:dyDescent="0.35">
      <c r="G1246" s="2" t="str">
        <f>IFERROR(VLOOKUP(B1246, SOE!F:G, 2, FALSE), "No probado")</f>
        <v>No probado</v>
      </c>
    </row>
    <row r="1247" spans="7:7" x14ac:dyDescent="0.35">
      <c r="G1247" s="2" t="str">
        <f>IFERROR(VLOOKUP(B1247, SOE!F:G, 2, FALSE), "No probado")</f>
        <v>No probado</v>
      </c>
    </row>
    <row r="1248" spans="7:7" x14ac:dyDescent="0.35">
      <c r="G1248" s="2" t="str">
        <f>IFERROR(VLOOKUP(B1248, SOE!F:G, 2, FALSE), "No probado")</f>
        <v>No probado</v>
      </c>
    </row>
    <row r="1249" spans="7:7" x14ac:dyDescent="0.35">
      <c r="G1249" s="2" t="str">
        <f>IFERROR(VLOOKUP(B1249, SOE!F:G, 2, FALSE), "No probado")</f>
        <v>No probado</v>
      </c>
    </row>
    <row r="1250" spans="7:7" x14ac:dyDescent="0.35">
      <c r="G1250" s="2" t="str">
        <f>IFERROR(VLOOKUP(B1250, SOE!F:G, 2, FALSE), "No probado")</f>
        <v>No probado</v>
      </c>
    </row>
    <row r="1251" spans="7:7" x14ac:dyDescent="0.35">
      <c r="G1251" s="2" t="str">
        <f>IFERROR(VLOOKUP(B1251, SOE!F:G, 2, FALSE), "No probado")</f>
        <v>No probado</v>
      </c>
    </row>
    <row r="1252" spans="7:7" x14ac:dyDescent="0.35">
      <c r="G1252" s="2" t="str">
        <f>IFERROR(VLOOKUP(B1252, SOE!F:G, 2, FALSE), "No probado")</f>
        <v>No probado</v>
      </c>
    </row>
    <row r="1253" spans="7:7" x14ac:dyDescent="0.35">
      <c r="G1253" s="2" t="str">
        <f>IFERROR(VLOOKUP(B1253, SOE!F:G, 2, FALSE), "No probado")</f>
        <v>No probado</v>
      </c>
    </row>
    <row r="1254" spans="7:7" x14ac:dyDescent="0.35">
      <c r="G1254" s="2" t="str">
        <f>IFERROR(VLOOKUP(B1254, SOE!F:G, 2, FALSE), "No probado")</f>
        <v>No probado</v>
      </c>
    </row>
    <row r="1255" spans="7:7" x14ac:dyDescent="0.35">
      <c r="G1255" s="2" t="str">
        <f>IFERROR(VLOOKUP(B1255, SOE!F:G, 2, FALSE), "No probado")</f>
        <v>No probado</v>
      </c>
    </row>
    <row r="1256" spans="7:7" x14ac:dyDescent="0.35">
      <c r="G1256" s="2" t="str">
        <f>IFERROR(VLOOKUP(B1256, SOE!F:G, 2, FALSE), "No probado")</f>
        <v>No probado</v>
      </c>
    </row>
    <row r="1257" spans="7:7" x14ac:dyDescent="0.35">
      <c r="G1257" s="2" t="str">
        <f>IFERROR(VLOOKUP(B1257, SOE!F:G, 2, FALSE), "No probado")</f>
        <v>No probado</v>
      </c>
    </row>
    <row r="1258" spans="7:7" x14ac:dyDescent="0.35">
      <c r="G1258" s="2" t="str">
        <f>IFERROR(VLOOKUP(B1258, SOE!F:G, 2, FALSE), "No probado")</f>
        <v>No probado</v>
      </c>
    </row>
    <row r="1259" spans="7:7" x14ac:dyDescent="0.35">
      <c r="G1259" s="2" t="str">
        <f>IFERROR(VLOOKUP(B1259, SOE!F:G, 2, FALSE), "No probado")</f>
        <v>No probado</v>
      </c>
    </row>
    <row r="1260" spans="7:7" x14ac:dyDescent="0.35">
      <c r="G1260" s="2" t="str">
        <f>IFERROR(VLOOKUP(B1260, SOE!F:G, 2, FALSE), "No probado")</f>
        <v>No probado</v>
      </c>
    </row>
    <row r="1261" spans="7:7" x14ac:dyDescent="0.35">
      <c r="G1261" s="2" t="str">
        <f>IFERROR(VLOOKUP(B1261, SOE!F:G, 2, FALSE), "No probado")</f>
        <v>No probado</v>
      </c>
    </row>
    <row r="1262" spans="7:7" x14ac:dyDescent="0.35">
      <c r="G1262" s="2" t="str">
        <f>IFERROR(VLOOKUP(B1262, SOE!F:G, 2, FALSE), "No probado")</f>
        <v>No probado</v>
      </c>
    </row>
    <row r="1263" spans="7:7" x14ac:dyDescent="0.35">
      <c r="G1263" s="2" t="str">
        <f>IFERROR(VLOOKUP(B1263, SOE!F:G, 2, FALSE), "No probado")</f>
        <v>No probado</v>
      </c>
    </row>
    <row r="1264" spans="7:7" x14ac:dyDescent="0.35">
      <c r="G1264" s="2" t="str">
        <f>IFERROR(VLOOKUP(B1264, SOE!F:G, 2, FALSE), "No probado")</f>
        <v>No probado</v>
      </c>
    </row>
    <row r="1265" spans="7:7" x14ac:dyDescent="0.35">
      <c r="G1265" s="2" t="str">
        <f>IFERROR(VLOOKUP(B1265, SOE!F:G, 2, FALSE), "No probado")</f>
        <v>No probado</v>
      </c>
    </row>
    <row r="1266" spans="7:7" x14ac:dyDescent="0.35">
      <c r="G1266" s="2" t="str">
        <f>IFERROR(VLOOKUP(B1266, SOE!F:G, 2, FALSE), "No probado")</f>
        <v>No probado</v>
      </c>
    </row>
    <row r="1267" spans="7:7" x14ac:dyDescent="0.35">
      <c r="G1267" s="2" t="str">
        <f>IFERROR(VLOOKUP(B1267, SOE!F:G, 2, FALSE), "No probado")</f>
        <v>No probado</v>
      </c>
    </row>
    <row r="1268" spans="7:7" x14ac:dyDescent="0.35">
      <c r="G1268" s="2" t="str">
        <f>IFERROR(VLOOKUP(B1268, SOE!F:G, 2, FALSE), "No probado")</f>
        <v>No probado</v>
      </c>
    </row>
    <row r="1269" spans="7:7" x14ac:dyDescent="0.35">
      <c r="G1269" s="2" t="str">
        <f>IFERROR(VLOOKUP(B1269, SOE!F:G, 2, FALSE), "No probado")</f>
        <v>No probado</v>
      </c>
    </row>
    <row r="1270" spans="7:7" x14ac:dyDescent="0.35">
      <c r="G1270" s="2" t="str">
        <f>IFERROR(VLOOKUP(B1270, SOE!F:G, 2, FALSE), "No probado")</f>
        <v>No probado</v>
      </c>
    </row>
    <row r="1271" spans="7:7" x14ac:dyDescent="0.35">
      <c r="G1271" s="2" t="str">
        <f>IFERROR(VLOOKUP(B1271, SOE!F:G, 2, FALSE), "No probado")</f>
        <v>No probado</v>
      </c>
    </row>
    <row r="1272" spans="7:7" x14ac:dyDescent="0.35">
      <c r="G1272" s="2" t="str">
        <f>IFERROR(VLOOKUP(B1272, SOE!F:G, 2, FALSE), "No probado")</f>
        <v>No probado</v>
      </c>
    </row>
    <row r="1273" spans="7:7" x14ac:dyDescent="0.35">
      <c r="G1273" s="2" t="str">
        <f>IFERROR(VLOOKUP(B1273, SOE!F:G, 2, FALSE), "No probado")</f>
        <v>No probado</v>
      </c>
    </row>
    <row r="1274" spans="7:7" x14ac:dyDescent="0.35">
      <c r="G1274" s="2" t="str">
        <f>IFERROR(VLOOKUP(B1274, SOE!F:G, 2, FALSE), "No probado")</f>
        <v>No probado</v>
      </c>
    </row>
    <row r="1275" spans="7:7" x14ac:dyDescent="0.35">
      <c r="G1275" s="2" t="str">
        <f>IFERROR(VLOOKUP(B1275, SOE!F:G, 2, FALSE), "No probado")</f>
        <v>No probado</v>
      </c>
    </row>
    <row r="1276" spans="7:7" x14ac:dyDescent="0.35">
      <c r="G1276" s="2" t="str">
        <f>IFERROR(VLOOKUP(B1276, SOE!F:G, 2, FALSE), "No probado")</f>
        <v>No probado</v>
      </c>
    </row>
    <row r="1277" spans="7:7" x14ac:dyDescent="0.35">
      <c r="G1277" s="2" t="str">
        <f>IFERROR(VLOOKUP(B1277, SOE!F:G, 2, FALSE), "No probado")</f>
        <v>No probado</v>
      </c>
    </row>
    <row r="1278" spans="7:7" x14ac:dyDescent="0.35">
      <c r="G1278" s="2" t="str">
        <f>IFERROR(VLOOKUP(B1278, SOE!F:G, 2, FALSE), "No probado")</f>
        <v>No probado</v>
      </c>
    </row>
    <row r="1279" spans="7:7" x14ac:dyDescent="0.35">
      <c r="G1279" s="2" t="str">
        <f>IFERROR(VLOOKUP(B1279, SOE!F:G, 2, FALSE), "No probado")</f>
        <v>No probado</v>
      </c>
    </row>
    <row r="1280" spans="7:7" x14ac:dyDescent="0.35">
      <c r="G1280" s="2" t="str">
        <f>IFERROR(VLOOKUP(B1280, SOE!F:G, 2, FALSE), "No probado")</f>
        <v>No probado</v>
      </c>
    </row>
    <row r="1281" spans="7:7" x14ac:dyDescent="0.35">
      <c r="G1281" s="2" t="str">
        <f>IFERROR(VLOOKUP(B1281, SOE!F:G, 2, FALSE), "No probado")</f>
        <v>No probado</v>
      </c>
    </row>
    <row r="1282" spans="7:7" x14ac:dyDescent="0.35">
      <c r="G1282" s="2" t="str">
        <f>IFERROR(VLOOKUP(B1282, SOE!F:G, 2, FALSE), "No probado")</f>
        <v>No probado</v>
      </c>
    </row>
    <row r="1283" spans="7:7" x14ac:dyDescent="0.35">
      <c r="G1283" s="2" t="str">
        <f>IFERROR(VLOOKUP(B1283, SOE!F:G, 2, FALSE), "No probado")</f>
        <v>No probado</v>
      </c>
    </row>
    <row r="1284" spans="7:7" x14ac:dyDescent="0.35">
      <c r="G1284" s="2" t="str">
        <f>IFERROR(VLOOKUP(B1284, SOE!F:G, 2, FALSE), "No probado")</f>
        <v>No probado</v>
      </c>
    </row>
    <row r="1285" spans="7:7" x14ac:dyDescent="0.35">
      <c r="G1285" s="2" t="str">
        <f>IFERROR(VLOOKUP(B1285, SOE!F:G, 2, FALSE), "No probado")</f>
        <v>No probado</v>
      </c>
    </row>
    <row r="1286" spans="7:7" x14ac:dyDescent="0.35">
      <c r="G1286" s="2" t="str">
        <f>IFERROR(VLOOKUP(B1286, SOE!F:G, 2, FALSE), "No probado")</f>
        <v>No probado</v>
      </c>
    </row>
    <row r="1287" spans="7:7" x14ac:dyDescent="0.35">
      <c r="G1287" s="2" t="str">
        <f>IFERROR(VLOOKUP(B1287, SOE!F:G, 2, FALSE), "No probado")</f>
        <v>No probado</v>
      </c>
    </row>
    <row r="1288" spans="7:7" x14ac:dyDescent="0.35">
      <c r="G1288" s="2" t="str">
        <f>IFERROR(VLOOKUP(B1288, SOE!F:G, 2, FALSE), "No probado")</f>
        <v>No probado</v>
      </c>
    </row>
    <row r="1289" spans="7:7" x14ac:dyDescent="0.35">
      <c r="G1289" s="2" t="str">
        <f>IFERROR(VLOOKUP(B1289, SOE!F:G, 2, FALSE), "No probado")</f>
        <v>No probado</v>
      </c>
    </row>
    <row r="1290" spans="7:7" x14ac:dyDescent="0.35">
      <c r="G1290" s="2" t="str">
        <f>IFERROR(VLOOKUP(B1290, SOE!F:G, 2, FALSE), "No probado")</f>
        <v>No probado</v>
      </c>
    </row>
    <row r="1291" spans="7:7" x14ac:dyDescent="0.35">
      <c r="G1291" s="2" t="str">
        <f>IFERROR(VLOOKUP(B1291, SOE!F:G, 2, FALSE), "No probado")</f>
        <v>No probado</v>
      </c>
    </row>
    <row r="1292" spans="7:7" x14ac:dyDescent="0.35">
      <c r="G1292" s="2" t="str">
        <f>IFERROR(VLOOKUP(B1292, SOE!F:G, 2, FALSE), "No probado")</f>
        <v>No probado</v>
      </c>
    </row>
    <row r="1293" spans="7:7" x14ac:dyDescent="0.35">
      <c r="G1293" s="2" t="str">
        <f>IFERROR(VLOOKUP(B1293, SOE!F:G, 2, FALSE), "No probado")</f>
        <v>No probado</v>
      </c>
    </row>
    <row r="1294" spans="7:7" x14ac:dyDescent="0.35">
      <c r="G1294" s="2" t="str">
        <f>IFERROR(VLOOKUP(B1294, SOE!F:G, 2, FALSE), "No probado")</f>
        <v>No probado</v>
      </c>
    </row>
    <row r="1295" spans="7:7" x14ac:dyDescent="0.35">
      <c r="G1295" s="2" t="str">
        <f>IFERROR(VLOOKUP(B1295, SOE!F:G, 2, FALSE), "No probado")</f>
        <v>No probado</v>
      </c>
    </row>
    <row r="1296" spans="7:7" x14ac:dyDescent="0.35">
      <c r="G1296" s="2" t="str">
        <f>IFERROR(VLOOKUP(B1296, SOE!F:G, 2, FALSE), "No probado")</f>
        <v>No probado</v>
      </c>
    </row>
    <row r="1297" spans="7:7" x14ac:dyDescent="0.35">
      <c r="G1297" s="2" t="str">
        <f>IFERROR(VLOOKUP(B1297, SOE!F:G, 2, FALSE), "No probado")</f>
        <v>No probado</v>
      </c>
    </row>
    <row r="1298" spans="7:7" x14ac:dyDescent="0.35">
      <c r="G1298" s="2" t="str">
        <f>IFERROR(VLOOKUP(B1298, SOE!F:G, 2, FALSE), "No probado")</f>
        <v>No probado</v>
      </c>
    </row>
    <row r="1299" spans="7:7" x14ac:dyDescent="0.35">
      <c r="G1299" s="2" t="str">
        <f>IFERROR(VLOOKUP(B1299, SOE!F:G, 2, FALSE), "No probado")</f>
        <v>No probado</v>
      </c>
    </row>
    <row r="1300" spans="7:7" x14ac:dyDescent="0.35">
      <c r="G1300" s="2" t="str">
        <f>IFERROR(VLOOKUP(B1300, SOE!F:G, 2, FALSE), "No probado")</f>
        <v>No probado</v>
      </c>
    </row>
    <row r="1301" spans="7:7" x14ac:dyDescent="0.35">
      <c r="G1301" s="2" t="str">
        <f>IFERROR(VLOOKUP(B1301, SOE!F:G, 2, FALSE), "No probado")</f>
        <v>No probado</v>
      </c>
    </row>
    <row r="1302" spans="7:7" x14ac:dyDescent="0.35">
      <c r="G1302" s="2" t="str">
        <f>IFERROR(VLOOKUP(B1302, SOE!F:G, 2, FALSE), "No probado")</f>
        <v>No probado</v>
      </c>
    </row>
    <row r="1303" spans="7:7" x14ac:dyDescent="0.35">
      <c r="G1303" s="2" t="str">
        <f>IFERROR(VLOOKUP(B1303, SOE!F:G, 2, FALSE), "No probado")</f>
        <v>No probado</v>
      </c>
    </row>
    <row r="1304" spans="7:7" x14ac:dyDescent="0.35">
      <c r="G1304" s="2" t="str">
        <f>IFERROR(VLOOKUP(B1304, SOE!F:G, 2, FALSE), "No probado")</f>
        <v>No probado</v>
      </c>
    </row>
    <row r="1305" spans="7:7" x14ac:dyDescent="0.35">
      <c r="G1305" s="2" t="str">
        <f>IFERROR(VLOOKUP(B1305, SOE!F:G, 2, FALSE), "No probado")</f>
        <v>No probado</v>
      </c>
    </row>
    <row r="1306" spans="7:7" x14ac:dyDescent="0.35">
      <c r="G1306" s="2" t="str">
        <f>IFERROR(VLOOKUP(B1306, SOE!F:G, 2, FALSE), "No probado")</f>
        <v>No probado</v>
      </c>
    </row>
    <row r="1307" spans="7:7" x14ac:dyDescent="0.35">
      <c r="G1307" s="2" t="str">
        <f>IFERROR(VLOOKUP(B1307, SOE!F:G, 2, FALSE), "No probado")</f>
        <v>No probado</v>
      </c>
    </row>
    <row r="1308" spans="7:7" x14ac:dyDescent="0.35">
      <c r="G1308" s="2" t="str">
        <f>IFERROR(VLOOKUP(B1308, SOE!F:G, 2, FALSE), "No probado")</f>
        <v>No probado</v>
      </c>
    </row>
    <row r="1309" spans="7:7" x14ac:dyDescent="0.35">
      <c r="G1309" s="2" t="str">
        <f>IFERROR(VLOOKUP(B1309, SOE!F:G, 2, FALSE), "No probado")</f>
        <v>No probado</v>
      </c>
    </row>
    <row r="1310" spans="7:7" x14ac:dyDescent="0.35">
      <c r="G1310" s="2" t="str">
        <f>IFERROR(VLOOKUP(B1310, SOE!F:G, 2, FALSE), "No probado")</f>
        <v>No probado</v>
      </c>
    </row>
    <row r="1311" spans="7:7" x14ac:dyDescent="0.35">
      <c r="G1311" s="2" t="str">
        <f>IFERROR(VLOOKUP(B1311, SOE!F:G, 2, FALSE), "No probado")</f>
        <v>No probado</v>
      </c>
    </row>
    <row r="1312" spans="7:7" x14ac:dyDescent="0.35">
      <c r="G1312" s="2" t="str">
        <f>IFERROR(VLOOKUP(B1312, SOE!F:G, 2, FALSE), "No probado")</f>
        <v>No probado</v>
      </c>
    </row>
    <row r="1313" spans="7:7" x14ac:dyDescent="0.35">
      <c r="G1313" s="2" t="str">
        <f>IFERROR(VLOOKUP(B1313, SOE!F:G, 2, FALSE), "No probado")</f>
        <v>No probado</v>
      </c>
    </row>
    <row r="1314" spans="7:7" x14ac:dyDescent="0.35">
      <c r="G1314" s="2" t="str">
        <f>IFERROR(VLOOKUP(B1314, SOE!F:G, 2, FALSE), "No probado")</f>
        <v>No probado</v>
      </c>
    </row>
    <row r="1315" spans="7:7" x14ac:dyDescent="0.35">
      <c r="G1315" s="2" t="str">
        <f>IFERROR(VLOOKUP(B1315, SOE!F:G, 2, FALSE), "No probado")</f>
        <v>No probado</v>
      </c>
    </row>
    <row r="1316" spans="7:7" x14ac:dyDescent="0.35">
      <c r="G1316" s="2" t="str">
        <f>IFERROR(VLOOKUP(B1316, SOE!F:G, 2, FALSE), "No probado")</f>
        <v>No probado</v>
      </c>
    </row>
    <row r="1317" spans="7:7" x14ac:dyDescent="0.35">
      <c r="G1317" s="2" t="str">
        <f>IFERROR(VLOOKUP(B1317, SOE!F:G, 2, FALSE), "No probado")</f>
        <v>No probado</v>
      </c>
    </row>
    <row r="1318" spans="7:7" x14ac:dyDescent="0.35">
      <c r="G1318" s="2" t="str">
        <f>IFERROR(VLOOKUP(B1318, SOE!F:G, 2, FALSE), "No probado")</f>
        <v>No probado</v>
      </c>
    </row>
    <row r="1319" spans="7:7" x14ac:dyDescent="0.35">
      <c r="G1319" s="2" t="str">
        <f>IFERROR(VLOOKUP(B1319, SOE!F:G, 2, FALSE), "No probado")</f>
        <v>No probado</v>
      </c>
    </row>
    <row r="1320" spans="7:7" x14ac:dyDescent="0.35">
      <c r="G1320" s="2" t="str">
        <f>IFERROR(VLOOKUP(B1320, SOE!F:G, 2, FALSE), "No probado")</f>
        <v>No probado</v>
      </c>
    </row>
    <row r="1321" spans="7:7" x14ac:dyDescent="0.35">
      <c r="G1321" s="2" t="str">
        <f>IFERROR(VLOOKUP(B1321, SOE!F:G, 2, FALSE), "No probado")</f>
        <v>No probado</v>
      </c>
    </row>
    <row r="1322" spans="7:7" x14ac:dyDescent="0.35">
      <c r="G1322" s="2" t="str">
        <f>IFERROR(VLOOKUP(B1322, SOE!F:G, 2, FALSE), "No probado")</f>
        <v>No probado</v>
      </c>
    </row>
    <row r="1323" spans="7:7" x14ac:dyDescent="0.35">
      <c r="G1323" s="2" t="str">
        <f>IFERROR(VLOOKUP(B1323, SOE!F:G, 2, FALSE), "No probado")</f>
        <v>No probado</v>
      </c>
    </row>
    <row r="1324" spans="7:7" x14ac:dyDescent="0.35">
      <c r="G1324" s="2" t="str">
        <f>IFERROR(VLOOKUP(B1324, SOE!F:G, 2, FALSE), "No probado")</f>
        <v>No probado</v>
      </c>
    </row>
    <row r="1325" spans="7:7" x14ac:dyDescent="0.35">
      <c r="G1325" s="2" t="str">
        <f>IFERROR(VLOOKUP(B1325, SOE!F:G, 2, FALSE), "No probado")</f>
        <v>No probado</v>
      </c>
    </row>
    <row r="1326" spans="7:7" x14ac:dyDescent="0.35">
      <c r="G1326" s="2" t="str">
        <f>IFERROR(VLOOKUP(B1326, SOE!F:G, 2, FALSE), "No probado")</f>
        <v>No probado</v>
      </c>
    </row>
    <row r="1327" spans="7:7" x14ac:dyDescent="0.35">
      <c r="G1327" s="2" t="str">
        <f>IFERROR(VLOOKUP(B1327, SOE!F:G, 2, FALSE), "No probado")</f>
        <v>No probado</v>
      </c>
    </row>
    <row r="1328" spans="7:7" x14ac:dyDescent="0.35">
      <c r="G1328" s="2" t="str">
        <f>IFERROR(VLOOKUP(B1328, SOE!F:G, 2, FALSE), "No probado")</f>
        <v>No probado</v>
      </c>
    </row>
    <row r="1329" spans="7:7" x14ac:dyDescent="0.35">
      <c r="G1329" s="2" t="str">
        <f>IFERROR(VLOOKUP(B1329, SOE!F:G, 2, FALSE), "No probado")</f>
        <v>No probado</v>
      </c>
    </row>
    <row r="1330" spans="7:7" x14ac:dyDescent="0.35">
      <c r="G1330" s="2" t="str">
        <f>IFERROR(VLOOKUP(B1330, SOE!F:G, 2, FALSE), "No probado")</f>
        <v>No probado</v>
      </c>
    </row>
    <row r="1331" spans="7:7" x14ac:dyDescent="0.35">
      <c r="G1331" s="2" t="str">
        <f>IFERROR(VLOOKUP(B1331, SOE!F:G, 2, FALSE), "No probado")</f>
        <v>No probado</v>
      </c>
    </row>
    <row r="1332" spans="7:7" x14ac:dyDescent="0.35">
      <c r="G1332" s="2" t="str">
        <f>IFERROR(VLOOKUP(B1332, SOE!F:G, 2, FALSE), "No probado")</f>
        <v>No probado</v>
      </c>
    </row>
    <row r="1333" spans="7:7" x14ac:dyDescent="0.35">
      <c r="G1333" s="2" t="str">
        <f>IFERROR(VLOOKUP(B1333, SOE!F:G, 2, FALSE), "No probado")</f>
        <v>No probado</v>
      </c>
    </row>
    <row r="1334" spans="7:7" x14ac:dyDescent="0.35">
      <c r="G1334" s="2" t="str">
        <f>IFERROR(VLOOKUP(B1334, SOE!F:G, 2, FALSE), "No probado")</f>
        <v>No probado</v>
      </c>
    </row>
    <row r="1335" spans="7:7" x14ac:dyDescent="0.35">
      <c r="G1335" s="2" t="str">
        <f>IFERROR(VLOOKUP(B1335, SOE!F:G, 2, FALSE), "No probado")</f>
        <v>No probado</v>
      </c>
    </row>
    <row r="1336" spans="7:7" x14ac:dyDescent="0.35">
      <c r="G1336" s="2" t="str">
        <f>IFERROR(VLOOKUP(B1336, SOE!F:G, 2, FALSE), "No probado")</f>
        <v>No probado</v>
      </c>
    </row>
    <row r="1337" spans="7:7" x14ac:dyDescent="0.35">
      <c r="G1337" s="2" t="str">
        <f>IFERROR(VLOOKUP(B1337, SOE!F:G, 2, FALSE), "No probado")</f>
        <v>No probado</v>
      </c>
    </row>
    <row r="1338" spans="7:7" x14ac:dyDescent="0.35">
      <c r="G1338" s="2" t="str">
        <f>IFERROR(VLOOKUP(B1338, SOE!F:G, 2, FALSE), "No probado")</f>
        <v>No probado</v>
      </c>
    </row>
    <row r="1339" spans="7:7" x14ac:dyDescent="0.35">
      <c r="G1339" s="2" t="str">
        <f>IFERROR(VLOOKUP(B1339, SOE!F:G, 2, FALSE), "No probado")</f>
        <v>No probado</v>
      </c>
    </row>
    <row r="1340" spans="7:7" x14ac:dyDescent="0.35">
      <c r="G1340" s="2" t="str">
        <f>IFERROR(VLOOKUP(B1340, SOE!F:G, 2, FALSE), "No probado")</f>
        <v>No probado</v>
      </c>
    </row>
    <row r="1341" spans="7:7" x14ac:dyDescent="0.35">
      <c r="G1341" s="2" t="str">
        <f>IFERROR(VLOOKUP(B1341, SOE!F:G, 2, FALSE), "No probado")</f>
        <v>No probado</v>
      </c>
    </row>
    <row r="1342" spans="7:7" x14ac:dyDescent="0.35">
      <c r="G1342" s="2" t="str">
        <f>IFERROR(VLOOKUP(B1342, SOE!F:G, 2, FALSE), "No probado")</f>
        <v>No probado</v>
      </c>
    </row>
    <row r="1343" spans="7:7" x14ac:dyDescent="0.35">
      <c r="G1343" s="2" t="str">
        <f>IFERROR(VLOOKUP(B1343, SOE!F:G, 2, FALSE), "No probado")</f>
        <v>No probado</v>
      </c>
    </row>
    <row r="1344" spans="7:7" x14ac:dyDescent="0.35">
      <c r="G1344" s="2" t="str">
        <f>IFERROR(VLOOKUP(B1344, SOE!F:G, 2, FALSE), "No probado")</f>
        <v>No probado</v>
      </c>
    </row>
    <row r="1345" spans="7:7" x14ac:dyDescent="0.35">
      <c r="G1345" s="2" t="str">
        <f>IFERROR(VLOOKUP(B1345, SOE!F:G, 2, FALSE), "No probado")</f>
        <v>No probado</v>
      </c>
    </row>
    <row r="1346" spans="7:7" x14ac:dyDescent="0.35">
      <c r="G1346" s="2" t="str">
        <f>IFERROR(VLOOKUP(B1346, SOE!F:G, 2, FALSE), "No probado")</f>
        <v>No probado</v>
      </c>
    </row>
    <row r="1347" spans="7:7" x14ac:dyDescent="0.35">
      <c r="G1347" s="2" t="str">
        <f>IFERROR(VLOOKUP(B1347, SOE!F:G, 2, FALSE), "No probado")</f>
        <v>No probado</v>
      </c>
    </row>
    <row r="1348" spans="7:7" x14ac:dyDescent="0.35">
      <c r="G1348" s="2" t="str">
        <f>IFERROR(VLOOKUP(B1348, SOE!F:G, 2, FALSE), "No probado")</f>
        <v>No probado</v>
      </c>
    </row>
    <row r="1349" spans="7:7" x14ac:dyDescent="0.35">
      <c r="G1349" s="2" t="str">
        <f>IFERROR(VLOOKUP(B1349, SOE!F:G, 2, FALSE), "No probado")</f>
        <v>No probado</v>
      </c>
    </row>
    <row r="1350" spans="7:7" x14ac:dyDescent="0.35">
      <c r="G1350" s="2" t="str">
        <f>IFERROR(VLOOKUP(B1350, SOE!F:G, 2, FALSE), "No probado")</f>
        <v>No probado</v>
      </c>
    </row>
    <row r="1351" spans="7:7" x14ac:dyDescent="0.35">
      <c r="G1351" s="2" t="str">
        <f>IFERROR(VLOOKUP(B1351, SOE!F:G, 2, FALSE), "No probado")</f>
        <v>No probado</v>
      </c>
    </row>
    <row r="1352" spans="7:7" x14ac:dyDescent="0.35">
      <c r="G1352" s="2" t="str">
        <f>IFERROR(VLOOKUP(B1352, SOE!F:G, 2, FALSE), "No probado")</f>
        <v>No probado</v>
      </c>
    </row>
    <row r="1353" spans="7:7" x14ac:dyDescent="0.35">
      <c r="G1353" s="2" t="str">
        <f>IFERROR(VLOOKUP(B1353, SOE!F:G, 2, FALSE), "No probado")</f>
        <v>No probado</v>
      </c>
    </row>
    <row r="1354" spans="7:7" x14ac:dyDescent="0.35">
      <c r="G1354" s="2" t="str">
        <f>IFERROR(VLOOKUP(B1354, SOE!F:G, 2, FALSE), "No probado")</f>
        <v>No probado</v>
      </c>
    </row>
    <row r="1355" spans="7:7" x14ac:dyDescent="0.35">
      <c r="G1355" s="2" t="str">
        <f>IFERROR(VLOOKUP(B1355, SOE!F:G, 2, FALSE), "No probado")</f>
        <v>No probado</v>
      </c>
    </row>
    <row r="1356" spans="7:7" x14ac:dyDescent="0.35">
      <c r="G1356" s="2" t="str">
        <f>IFERROR(VLOOKUP(B1356, SOE!F:G, 2, FALSE), "No probado")</f>
        <v>No probado</v>
      </c>
    </row>
    <row r="1357" spans="7:7" x14ac:dyDescent="0.35">
      <c r="G1357" s="2" t="str">
        <f>IFERROR(VLOOKUP(B1357, SOE!F:G, 2, FALSE), "No probado")</f>
        <v>No probado</v>
      </c>
    </row>
    <row r="1358" spans="7:7" x14ac:dyDescent="0.35">
      <c r="G1358" s="2" t="str">
        <f>IFERROR(VLOOKUP(B1358, SOE!F:G, 2, FALSE), "No probado")</f>
        <v>No probado</v>
      </c>
    </row>
    <row r="1359" spans="7:7" x14ac:dyDescent="0.35">
      <c r="G1359" s="2" t="str">
        <f>IFERROR(VLOOKUP(B1359, SOE!F:G, 2, FALSE), "No probado")</f>
        <v>No probado</v>
      </c>
    </row>
    <row r="1360" spans="7:7" x14ac:dyDescent="0.35">
      <c r="G1360" s="2" t="str">
        <f>IFERROR(VLOOKUP(B1360, SOE!F:G, 2, FALSE), "No probado")</f>
        <v>No probado</v>
      </c>
    </row>
    <row r="1361" spans="7:7" x14ac:dyDescent="0.35">
      <c r="G1361" s="2" t="str">
        <f>IFERROR(VLOOKUP(B1361, SOE!F:G, 2, FALSE), "No probado")</f>
        <v>No probado</v>
      </c>
    </row>
    <row r="1362" spans="7:7" x14ac:dyDescent="0.35">
      <c r="G1362" s="2" t="str">
        <f>IFERROR(VLOOKUP(B1362, SOE!F:G, 2, FALSE), "No probado")</f>
        <v>No probado</v>
      </c>
    </row>
    <row r="1363" spans="7:7" x14ac:dyDescent="0.35">
      <c r="G1363" s="2" t="str">
        <f>IFERROR(VLOOKUP(B1363, SOE!F:G, 2, FALSE), "No probado")</f>
        <v>No probado</v>
      </c>
    </row>
    <row r="1364" spans="7:7" x14ac:dyDescent="0.35">
      <c r="G1364" s="2" t="str">
        <f>IFERROR(VLOOKUP(B1364, SOE!F:G, 2, FALSE), "No probado")</f>
        <v>No probado</v>
      </c>
    </row>
    <row r="1365" spans="7:7" x14ac:dyDescent="0.35">
      <c r="G1365" s="2" t="str">
        <f>IFERROR(VLOOKUP(B1365, SOE!F:G, 2, FALSE), "No probado")</f>
        <v>No probado</v>
      </c>
    </row>
    <row r="1366" spans="7:7" x14ac:dyDescent="0.35">
      <c r="G1366" s="2" t="str">
        <f>IFERROR(VLOOKUP(B1366, SOE!F:G, 2, FALSE), "No probado")</f>
        <v>No probado</v>
      </c>
    </row>
    <row r="1367" spans="7:7" x14ac:dyDescent="0.35">
      <c r="G1367" s="2" t="str">
        <f>IFERROR(VLOOKUP(B1367, SOE!F:G, 2, FALSE), "No probado")</f>
        <v>No probado</v>
      </c>
    </row>
    <row r="1368" spans="7:7" x14ac:dyDescent="0.35">
      <c r="G1368" s="2" t="str">
        <f>IFERROR(VLOOKUP(B1368, SOE!F:G, 2, FALSE), "No probado")</f>
        <v>No probado</v>
      </c>
    </row>
    <row r="1369" spans="7:7" x14ac:dyDescent="0.35">
      <c r="G1369" s="2" t="str">
        <f>IFERROR(VLOOKUP(B1369, SOE!F:G, 2, FALSE), "No probado")</f>
        <v>No probado</v>
      </c>
    </row>
    <row r="1370" spans="7:7" x14ac:dyDescent="0.35">
      <c r="G1370" s="2" t="str">
        <f>IFERROR(VLOOKUP(B1370, SOE!F:G, 2, FALSE), "No probado")</f>
        <v>No probado</v>
      </c>
    </row>
    <row r="1371" spans="7:7" x14ac:dyDescent="0.35">
      <c r="G1371" s="2" t="str">
        <f>IFERROR(VLOOKUP(B1371, SOE!F:G, 2, FALSE), "No probado")</f>
        <v>No probado</v>
      </c>
    </row>
    <row r="1372" spans="7:7" x14ac:dyDescent="0.35">
      <c r="G1372" s="2" t="str">
        <f>IFERROR(VLOOKUP(B1372, SOE!F:G, 2, FALSE), "No probado")</f>
        <v>No probado</v>
      </c>
    </row>
    <row r="1373" spans="7:7" x14ac:dyDescent="0.35">
      <c r="G1373" s="2" t="str">
        <f>IFERROR(VLOOKUP(B1373, SOE!F:G, 2, FALSE), "No probado")</f>
        <v>No probado</v>
      </c>
    </row>
    <row r="1374" spans="7:7" x14ac:dyDescent="0.35">
      <c r="G1374" s="2" t="str">
        <f>IFERROR(VLOOKUP(B1374, SOE!F:G, 2, FALSE), "No probado")</f>
        <v>No probado</v>
      </c>
    </row>
    <row r="1375" spans="7:7" x14ac:dyDescent="0.35">
      <c r="G1375" s="2" t="str">
        <f>IFERROR(VLOOKUP(B1375, SOE!F:G, 2, FALSE), "No probado")</f>
        <v>No probado</v>
      </c>
    </row>
    <row r="1376" spans="7:7" x14ac:dyDescent="0.35">
      <c r="G1376" s="2" t="str">
        <f>IFERROR(VLOOKUP(B1376, SOE!F:G, 2, FALSE), "No probado")</f>
        <v>No probado</v>
      </c>
    </row>
    <row r="1377" spans="7:7" x14ac:dyDescent="0.35">
      <c r="G1377" s="2" t="str">
        <f>IFERROR(VLOOKUP(B1377, SOE!F:G, 2, FALSE), "No probado")</f>
        <v>No probado</v>
      </c>
    </row>
    <row r="1378" spans="7:7" x14ac:dyDescent="0.35">
      <c r="G1378" s="2" t="str">
        <f>IFERROR(VLOOKUP(B1378, SOE!F:G, 2, FALSE), "No probado")</f>
        <v>No probado</v>
      </c>
    </row>
    <row r="1379" spans="7:7" x14ac:dyDescent="0.35">
      <c r="G1379" s="2" t="str">
        <f>IFERROR(VLOOKUP(B1379, SOE!F:G, 2, FALSE), "No probado")</f>
        <v>No probado</v>
      </c>
    </row>
    <row r="1380" spans="7:7" x14ac:dyDescent="0.35">
      <c r="G1380" s="2" t="str">
        <f>IFERROR(VLOOKUP(B1380, SOE!F:G, 2, FALSE), "No probado")</f>
        <v>No probado</v>
      </c>
    </row>
    <row r="1381" spans="7:7" x14ac:dyDescent="0.35">
      <c r="G1381" s="2" t="str">
        <f>IFERROR(VLOOKUP(B1381, SOE!F:G, 2, FALSE), "No probado")</f>
        <v>No probado</v>
      </c>
    </row>
    <row r="1382" spans="7:7" x14ac:dyDescent="0.35">
      <c r="G1382" s="2" t="str">
        <f>IFERROR(VLOOKUP(B1382, SOE!F:G, 2, FALSE), "No probado")</f>
        <v>No probado</v>
      </c>
    </row>
    <row r="1383" spans="7:7" x14ac:dyDescent="0.35">
      <c r="G1383" s="2" t="str">
        <f>IFERROR(VLOOKUP(B1383, SOE!F:G, 2, FALSE), "No probado")</f>
        <v>No probado</v>
      </c>
    </row>
    <row r="1384" spans="7:7" x14ac:dyDescent="0.35">
      <c r="G1384" s="2" t="str">
        <f>IFERROR(VLOOKUP(B1384, SOE!F:G, 2, FALSE), "No probado")</f>
        <v>No probado</v>
      </c>
    </row>
    <row r="1385" spans="7:7" x14ac:dyDescent="0.35">
      <c r="G1385" s="2" t="str">
        <f>IFERROR(VLOOKUP(B1385, SOE!F:G, 2, FALSE), "No probado")</f>
        <v>No probado</v>
      </c>
    </row>
    <row r="1386" spans="7:7" x14ac:dyDescent="0.35">
      <c r="G1386" s="2" t="str">
        <f>IFERROR(VLOOKUP(B1386, SOE!F:G, 2, FALSE), "No probado")</f>
        <v>No probado</v>
      </c>
    </row>
    <row r="1387" spans="7:7" x14ac:dyDescent="0.35">
      <c r="G1387" s="2" t="str">
        <f>IFERROR(VLOOKUP(B1387, SOE!F:G, 2, FALSE), "No probado")</f>
        <v>No probado</v>
      </c>
    </row>
    <row r="1388" spans="7:7" x14ac:dyDescent="0.35">
      <c r="G1388" s="2" t="str">
        <f>IFERROR(VLOOKUP(B1388, SOE!F:G, 2, FALSE), "No probado")</f>
        <v>No probado</v>
      </c>
    </row>
    <row r="1389" spans="7:7" x14ac:dyDescent="0.35">
      <c r="G1389" s="2" t="str">
        <f>IFERROR(VLOOKUP(B1389, SOE!F:G, 2, FALSE), "No probado")</f>
        <v>No probado</v>
      </c>
    </row>
    <row r="1390" spans="7:7" x14ac:dyDescent="0.35">
      <c r="G1390" s="2" t="str">
        <f>IFERROR(VLOOKUP(B1390, SOE!F:G, 2, FALSE), "No probado")</f>
        <v>No probado</v>
      </c>
    </row>
    <row r="1391" spans="7:7" x14ac:dyDescent="0.35">
      <c r="G1391" s="2" t="str">
        <f>IFERROR(VLOOKUP(B1391, SOE!F:G, 2, FALSE), "No probado")</f>
        <v>No probado</v>
      </c>
    </row>
    <row r="1392" spans="7:7" x14ac:dyDescent="0.35">
      <c r="G1392" s="2" t="str">
        <f>IFERROR(VLOOKUP(B1392, SOE!F:G, 2, FALSE), "No probado")</f>
        <v>No probado</v>
      </c>
    </row>
    <row r="1393" spans="7:7" x14ac:dyDescent="0.35">
      <c r="G1393" s="2" t="str">
        <f>IFERROR(VLOOKUP(B1393, SOE!F:G, 2, FALSE), "No probado")</f>
        <v>No probado</v>
      </c>
    </row>
    <row r="1394" spans="7:7" x14ac:dyDescent="0.35">
      <c r="G1394" s="2" t="str">
        <f>IFERROR(VLOOKUP(B1394, SOE!F:G, 2, FALSE), "No probado")</f>
        <v>No probado</v>
      </c>
    </row>
    <row r="1395" spans="7:7" x14ac:dyDescent="0.35">
      <c r="G1395" s="2" t="str">
        <f>IFERROR(VLOOKUP(B1395, SOE!F:G, 2, FALSE), "No probado")</f>
        <v>No probado</v>
      </c>
    </row>
    <row r="1396" spans="7:7" x14ac:dyDescent="0.35">
      <c r="G1396" s="2" t="str">
        <f>IFERROR(VLOOKUP(B1396, SOE!F:G, 2, FALSE), "No probado")</f>
        <v>No probado</v>
      </c>
    </row>
    <row r="1397" spans="7:7" x14ac:dyDescent="0.35">
      <c r="G1397" s="2" t="str">
        <f>IFERROR(VLOOKUP(B1397, SOE!F:G, 2, FALSE), "No probado")</f>
        <v>No probado</v>
      </c>
    </row>
    <row r="1398" spans="7:7" x14ac:dyDescent="0.35">
      <c r="G1398" s="2" t="str">
        <f>IFERROR(VLOOKUP(B1398, SOE!F:G, 2, FALSE), "No probado")</f>
        <v>No probado</v>
      </c>
    </row>
    <row r="1399" spans="7:7" x14ac:dyDescent="0.35">
      <c r="G1399" s="2" t="str">
        <f>IFERROR(VLOOKUP(B1399, SOE!F:G, 2, FALSE), "No probado")</f>
        <v>No probado</v>
      </c>
    </row>
    <row r="1400" spans="7:7" x14ac:dyDescent="0.35">
      <c r="G1400" s="2" t="str">
        <f>IFERROR(VLOOKUP(B1400, SOE!F:G, 2, FALSE), "No probado")</f>
        <v>No probado</v>
      </c>
    </row>
    <row r="1401" spans="7:7" x14ac:dyDescent="0.35">
      <c r="G1401" s="2" t="str">
        <f>IFERROR(VLOOKUP(B1401, SOE!F:G, 2, FALSE), "No probado")</f>
        <v>No probado</v>
      </c>
    </row>
    <row r="1402" spans="7:7" x14ac:dyDescent="0.35">
      <c r="G1402" s="2" t="str">
        <f>IFERROR(VLOOKUP(B1402, SOE!F:G, 2, FALSE), "No probado")</f>
        <v>No probado</v>
      </c>
    </row>
    <row r="1403" spans="7:7" x14ac:dyDescent="0.35">
      <c r="G1403" s="2" t="str">
        <f>IFERROR(VLOOKUP(B1403, SOE!F:G, 2, FALSE), "No probado")</f>
        <v>No probado</v>
      </c>
    </row>
    <row r="1404" spans="7:7" x14ac:dyDescent="0.35">
      <c r="G1404" s="2" t="str">
        <f>IFERROR(VLOOKUP(B1404, SOE!F:G, 2, FALSE), "No probado")</f>
        <v>No probado</v>
      </c>
    </row>
    <row r="1405" spans="7:7" x14ac:dyDescent="0.35">
      <c r="G1405" s="2" t="str">
        <f>IFERROR(VLOOKUP(B1405, SOE!F:G, 2, FALSE), "No probado")</f>
        <v>No probado</v>
      </c>
    </row>
    <row r="1406" spans="7:7" x14ac:dyDescent="0.35">
      <c r="G1406" s="2" t="str">
        <f>IFERROR(VLOOKUP(B1406, SOE!F:G, 2, FALSE), "No probado")</f>
        <v>No probado</v>
      </c>
    </row>
    <row r="1407" spans="7:7" x14ac:dyDescent="0.35">
      <c r="G1407" s="2" t="str">
        <f>IFERROR(VLOOKUP(B1407, SOE!F:G, 2, FALSE), "No probado")</f>
        <v>No probado</v>
      </c>
    </row>
    <row r="1408" spans="7:7" x14ac:dyDescent="0.35">
      <c r="G1408" s="2" t="str">
        <f>IFERROR(VLOOKUP(B1408, SOE!F:G, 2, FALSE), "No probado")</f>
        <v>No probado</v>
      </c>
    </row>
    <row r="1409" spans="7:7" x14ac:dyDescent="0.35">
      <c r="G1409" s="2" t="str">
        <f>IFERROR(VLOOKUP(B1409, SOE!F:G, 2, FALSE), "No probado")</f>
        <v>No probado</v>
      </c>
    </row>
    <row r="1410" spans="7:7" x14ac:dyDescent="0.35">
      <c r="G1410" s="2" t="str">
        <f>IFERROR(VLOOKUP(B1410, SOE!F:G, 2, FALSE), "No probado")</f>
        <v>No probado</v>
      </c>
    </row>
    <row r="1411" spans="7:7" x14ac:dyDescent="0.35">
      <c r="G1411" s="2" t="str">
        <f>IFERROR(VLOOKUP(B1411, SOE!F:G, 2, FALSE), "No probado")</f>
        <v>No probado</v>
      </c>
    </row>
    <row r="1412" spans="7:7" x14ac:dyDescent="0.35">
      <c r="G1412" s="2" t="str">
        <f>IFERROR(VLOOKUP(B1412, SOE!F:G, 2, FALSE), "No probado")</f>
        <v>No probado</v>
      </c>
    </row>
    <row r="1413" spans="7:7" x14ac:dyDescent="0.35">
      <c r="G1413" s="2" t="str">
        <f>IFERROR(VLOOKUP(B1413, SOE!F:G, 2, FALSE), "No probado")</f>
        <v>No probado</v>
      </c>
    </row>
    <row r="1414" spans="7:7" x14ac:dyDescent="0.35">
      <c r="G1414" s="2" t="str">
        <f>IFERROR(VLOOKUP(B1414, SOE!F:G, 2, FALSE), "No probado")</f>
        <v>No probado</v>
      </c>
    </row>
    <row r="1415" spans="7:7" x14ac:dyDescent="0.35">
      <c r="G1415" s="2" t="str">
        <f>IFERROR(VLOOKUP(B1415, SOE!F:G, 2, FALSE), "No probado")</f>
        <v>No probado</v>
      </c>
    </row>
    <row r="1416" spans="7:7" x14ac:dyDescent="0.35">
      <c r="G1416" s="2" t="str">
        <f>IFERROR(VLOOKUP(B1416, SOE!F:G, 2, FALSE), "No probado")</f>
        <v>No probado</v>
      </c>
    </row>
    <row r="1417" spans="7:7" x14ac:dyDescent="0.35">
      <c r="G1417" s="2" t="str">
        <f>IFERROR(VLOOKUP(B1417, SOE!F:G, 2, FALSE), "No probado")</f>
        <v>No probado</v>
      </c>
    </row>
    <row r="1418" spans="7:7" x14ac:dyDescent="0.35">
      <c r="G1418" s="2" t="str">
        <f>IFERROR(VLOOKUP(B1418, SOE!F:G, 2, FALSE), "No probado")</f>
        <v>No probado</v>
      </c>
    </row>
    <row r="1419" spans="7:7" x14ac:dyDescent="0.35">
      <c r="G1419" s="2" t="str">
        <f>IFERROR(VLOOKUP(B1419, SOE!F:G, 2, FALSE), "No probado")</f>
        <v>No probado</v>
      </c>
    </row>
    <row r="1420" spans="7:7" x14ac:dyDescent="0.35">
      <c r="G1420" s="2" t="str">
        <f>IFERROR(VLOOKUP(B1420, SOE!F:G, 2, FALSE), "No probado")</f>
        <v>No probado</v>
      </c>
    </row>
    <row r="1421" spans="7:7" x14ac:dyDescent="0.35">
      <c r="G1421" s="2" t="str">
        <f>IFERROR(VLOOKUP(B1421, SOE!F:G, 2, FALSE), "No probado")</f>
        <v>No probado</v>
      </c>
    </row>
    <row r="1422" spans="7:7" x14ac:dyDescent="0.35">
      <c r="G1422" s="2" t="str">
        <f>IFERROR(VLOOKUP(B1422, SOE!F:G, 2, FALSE), "No probado")</f>
        <v>No probado</v>
      </c>
    </row>
    <row r="1423" spans="7:7" x14ac:dyDescent="0.35">
      <c r="G1423" s="2" t="str">
        <f>IFERROR(VLOOKUP(B1423, SOE!F:G, 2, FALSE), "No probado")</f>
        <v>No probado</v>
      </c>
    </row>
    <row r="1424" spans="7:7" x14ac:dyDescent="0.35">
      <c r="G1424" s="2" t="str">
        <f>IFERROR(VLOOKUP(B1424, SOE!F:G, 2, FALSE), "No probado")</f>
        <v>No probado</v>
      </c>
    </row>
    <row r="1425" spans="7:7" x14ac:dyDescent="0.35">
      <c r="G1425" s="2" t="str">
        <f>IFERROR(VLOOKUP(B1425, SOE!F:G, 2, FALSE), "No probado")</f>
        <v>No probado</v>
      </c>
    </row>
    <row r="1426" spans="7:7" x14ac:dyDescent="0.35">
      <c r="G1426" s="2" t="str">
        <f>IFERROR(VLOOKUP(B1426, SOE!F:G, 2, FALSE), "No probado")</f>
        <v>No probado</v>
      </c>
    </row>
    <row r="1427" spans="7:7" x14ac:dyDescent="0.35">
      <c r="G1427" s="2" t="str">
        <f>IFERROR(VLOOKUP(B1427, SOE!F:G, 2, FALSE), "No probado")</f>
        <v>No probado</v>
      </c>
    </row>
    <row r="1428" spans="7:7" x14ac:dyDescent="0.35">
      <c r="G1428" s="2" t="str">
        <f>IFERROR(VLOOKUP(B1428, SOE!F:G, 2, FALSE), "No probado")</f>
        <v>No probado</v>
      </c>
    </row>
    <row r="1429" spans="7:7" x14ac:dyDescent="0.35">
      <c r="G1429" s="2" t="str">
        <f>IFERROR(VLOOKUP(B1429, SOE!F:G, 2, FALSE), "No probado")</f>
        <v>No probado</v>
      </c>
    </row>
    <row r="1430" spans="7:7" x14ac:dyDescent="0.35">
      <c r="G1430" s="2" t="str">
        <f>IFERROR(VLOOKUP(B1430, SOE!F:G, 2, FALSE), "No probado")</f>
        <v>No probado</v>
      </c>
    </row>
    <row r="1431" spans="7:7" x14ac:dyDescent="0.35">
      <c r="G1431" s="2" t="str">
        <f>IFERROR(VLOOKUP(B1431, SOE!F:G, 2, FALSE), "No probado")</f>
        <v>No probado</v>
      </c>
    </row>
    <row r="1432" spans="7:7" x14ac:dyDescent="0.35">
      <c r="G1432" s="2" t="str">
        <f>IFERROR(VLOOKUP(B1432, SOE!F:G, 2, FALSE), "No probado")</f>
        <v>No probado</v>
      </c>
    </row>
    <row r="1433" spans="7:7" x14ac:dyDescent="0.35">
      <c r="G1433" s="2" t="str">
        <f>IFERROR(VLOOKUP(B1433, SOE!F:G, 2, FALSE), "No probado")</f>
        <v>No probado</v>
      </c>
    </row>
    <row r="1434" spans="7:7" x14ac:dyDescent="0.35">
      <c r="G1434" s="2" t="str">
        <f>IFERROR(VLOOKUP(B1434, SOE!F:G, 2, FALSE), "No probado")</f>
        <v>No probado</v>
      </c>
    </row>
    <row r="1435" spans="7:7" x14ac:dyDescent="0.35">
      <c r="G1435" s="2" t="str">
        <f>IFERROR(VLOOKUP(B1435, SOE!F:G, 2, FALSE), "No probado")</f>
        <v>No probado</v>
      </c>
    </row>
    <row r="1436" spans="7:7" x14ac:dyDescent="0.35">
      <c r="G1436" s="2" t="str">
        <f>IFERROR(VLOOKUP(B1436, SOE!F:G, 2, FALSE), "No probado")</f>
        <v>No probado</v>
      </c>
    </row>
    <row r="1437" spans="7:7" x14ac:dyDescent="0.35">
      <c r="G1437" s="2" t="str">
        <f>IFERROR(VLOOKUP(B1437, SOE!F:G, 2, FALSE), "No probado")</f>
        <v>No probado</v>
      </c>
    </row>
    <row r="1438" spans="7:7" x14ac:dyDescent="0.35">
      <c r="G1438" s="2" t="str">
        <f>IFERROR(VLOOKUP(B1438, SOE!F:G, 2, FALSE), "No probado")</f>
        <v>No probado</v>
      </c>
    </row>
    <row r="1439" spans="7:7" x14ac:dyDescent="0.35">
      <c r="G1439" s="2" t="str">
        <f>IFERROR(VLOOKUP(B1439, SOE!F:G, 2, FALSE), "No probado")</f>
        <v>No probado</v>
      </c>
    </row>
    <row r="1440" spans="7:7" x14ac:dyDescent="0.35">
      <c r="G1440" s="2" t="str">
        <f>IFERROR(VLOOKUP(B1440, SOE!F:G, 2, FALSE), "No probado")</f>
        <v>No probado</v>
      </c>
    </row>
    <row r="1441" spans="7:7" x14ac:dyDescent="0.35">
      <c r="G1441" s="2" t="str">
        <f>IFERROR(VLOOKUP(B1441, SOE!F:G, 2, FALSE), "No probado")</f>
        <v>No probado</v>
      </c>
    </row>
    <row r="1442" spans="7:7" x14ac:dyDescent="0.35">
      <c r="G1442" s="2" t="str">
        <f>IFERROR(VLOOKUP(B1442, SOE!F:G, 2, FALSE), "No probado")</f>
        <v>No probado</v>
      </c>
    </row>
    <row r="1443" spans="7:7" x14ac:dyDescent="0.35">
      <c r="G1443" s="2" t="str">
        <f>IFERROR(VLOOKUP(B1443, SOE!F:G, 2, FALSE), "No probado")</f>
        <v>No probado</v>
      </c>
    </row>
    <row r="1444" spans="7:7" x14ac:dyDescent="0.35">
      <c r="G1444" s="2" t="str">
        <f>IFERROR(VLOOKUP(B1444, SOE!F:G, 2, FALSE), "No probado")</f>
        <v>No probado</v>
      </c>
    </row>
    <row r="1445" spans="7:7" x14ac:dyDescent="0.35">
      <c r="G1445" s="2" t="str">
        <f>IFERROR(VLOOKUP(B1445, SOE!F:G, 2, FALSE), "No probado")</f>
        <v>No probado</v>
      </c>
    </row>
    <row r="1446" spans="7:7" x14ac:dyDescent="0.35">
      <c r="G1446" s="2" t="str">
        <f>IFERROR(VLOOKUP(B1446, SOE!F:G, 2, FALSE), "No probado")</f>
        <v>No probado</v>
      </c>
    </row>
    <row r="1447" spans="7:7" x14ac:dyDescent="0.35">
      <c r="G1447" s="2" t="str">
        <f>IFERROR(VLOOKUP(B1447, SOE!F:G, 2, FALSE), "No probado")</f>
        <v>No probado</v>
      </c>
    </row>
    <row r="1448" spans="7:7" x14ac:dyDescent="0.35">
      <c r="G1448" s="2" t="str">
        <f>IFERROR(VLOOKUP(B1448, SOE!F:G, 2, FALSE), "No probado")</f>
        <v>No probado</v>
      </c>
    </row>
    <row r="1449" spans="7:7" x14ac:dyDescent="0.35">
      <c r="G1449" s="2" t="str">
        <f>IFERROR(VLOOKUP(B1449, SOE!F:G, 2, FALSE), "No probado")</f>
        <v>No probado</v>
      </c>
    </row>
    <row r="1450" spans="7:7" x14ac:dyDescent="0.35">
      <c r="G1450" s="2" t="str">
        <f>IFERROR(VLOOKUP(B1450, SOE!F:G, 2, FALSE), "No probado")</f>
        <v>No probado</v>
      </c>
    </row>
    <row r="1451" spans="7:7" x14ac:dyDescent="0.35">
      <c r="G1451" s="2" t="str">
        <f>IFERROR(VLOOKUP(B1451, SOE!F:G, 2, FALSE), "No probado")</f>
        <v>No probado</v>
      </c>
    </row>
    <row r="1452" spans="7:7" x14ac:dyDescent="0.35">
      <c r="G1452" s="2" t="str">
        <f>IFERROR(VLOOKUP(B1452, SOE!F:G, 2, FALSE), "No probado")</f>
        <v>No probado</v>
      </c>
    </row>
    <row r="1453" spans="7:7" x14ac:dyDescent="0.35">
      <c r="G1453" s="2" t="str">
        <f>IFERROR(VLOOKUP(B1453, SOE!F:G, 2, FALSE), "No probado")</f>
        <v>No probado</v>
      </c>
    </row>
    <row r="1454" spans="7:7" x14ac:dyDescent="0.35">
      <c r="G1454" s="2" t="str">
        <f>IFERROR(VLOOKUP(B1454, SOE!F:G, 2, FALSE), "No probado")</f>
        <v>No probado</v>
      </c>
    </row>
    <row r="1455" spans="7:7" x14ac:dyDescent="0.35">
      <c r="G1455" s="2" t="str">
        <f>IFERROR(VLOOKUP(B1455, SOE!F:G, 2, FALSE), "No probado")</f>
        <v>No probado</v>
      </c>
    </row>
    <row r="1456" spans="7:7" x14ac:dyDescent="0.35">
      <c r="G1456" s="2" t="str">
        <f>IFERROR(VLOOKUP(B1456, SOE!F:G, 2, FALSE), "No probado")</f>
        <v>No probado</v>
      </c>
    </row>
    <row r="1457" spans="7:7" x14ac:dyDescent="0.35">
      <c r="G1457" s="2" t="str">
        <f>IFERROR(VLOOKUP(B1457, SOE!F:G, 2, FALSE), "No probado")</f>
        <v>No probado</v>
      </c>
    </row>
    <row r="1458" spans="7:7" x14ac:dyDescent="0.35">
      <c r="G1458" s="2" t="str">
        <f>IFERROR(VLOOKUP(B1458, SOE!F:G, 2, FALSE), "No probado")</f>
        <v>No probado</v>
      </c>
    </row>
    <row r="1459" spans="7:7" x14ac:dyDescent="0.35">
      <c r="G1459" s="2" t="str">
        <f>IFERROR(VLOOKUP(B1459, SOE!F:G, 2, FALSE), "No probado")</f>
        <v>No probado</v>
      </c>
    </row>
    <row r="1460" spans="7:7" x14ac:dyDescent="0.35">
      <c r="G1460" s="2" t="str">
        <f>IFERROR(VLOOKUP(B1460, SOE!F:G, 2, FALSE), "No probado")</f>
        <v>No probado</v>
      </c>
    </row>
    <row r="1461" spans="7:7" x14ac:dyDescent="0.35">
      <c r="G1461" s="2" t="str">
        <f>IFERROR(VLOOKUP(B1461, SOE!F:G, 2, FALSE), "No probado")</f>
        <v>No probado</v>
      </c>
    </row>
    <row r="1462" spans="7:7" x14ac:dyDescent="0.35">
      <c r="G1462" s="2" t="str">
        <f>IFERROR(VLOOKUP(B1462, SOE!F:G, 2, FALSE), "No probado")</f>
        <v>No probado</v>
      </c>
    </row>
    <row r="1463" spans="7:7" x14ac:dyDescent="0.35">
      <c r="G1463" s="2" t="str">
        <f>IFERROR(VLOOKUP(B1463, SOE!F:G, 2, FALSE), "No probado")</f>
        <v>No probado</v>
      </c>
    </row>
    <row r="1464" spans="7:7" x14ac:dyDescent="0.35">
      <c r="G1464" s="2" t="str">
        <f>IFERROR(VLOOKUP(B1464, SOE!F:G, 2, FALSE), "No probado")</f>
        <v>No probado</v>
      </c>
    </row>
    <row r="1465" spans="7:7" x14ac:dyDescent="0.35">
      <c r="G1465" s="2" t="str">
        <f>IFERROR(VLOOKUP(B1465, SOE!F:G, 2, FALSE), "No probado")</f>
        <v>No probado</v>
      </c>
    </row>
    <row r="1466" spans="7:7" x14ac:dyDescent="0.35">
      <c r="G1466" s="2" t="str">
        <f>IFERROR(VLOOKUP(B1466, SOE!F:G, 2, FALSE), "No probado")</f>
        <v>No probado</v>
      </c>
    </row>
    <row r="1467" spans="7:7" x14ac:dyDescent="0.35">
      <c r="G1467" s="2" t="str">
        <f>IFERROR(VLOOKUP(B1467, SOE!F:G, 2, FALSE), "No probado")</f>
        <v>No probado</v>
      </c>
    </row>
    <row r="1468" spans="7:7" x14ac:dyDescent="0.35">
      <c r="G1468" s="2" t="str">
        <f>IFERROR(VLOOKUP(B1468, SOE!F:G, 2, FALSE), "No probado")</f>
        <v>No probado</v>
      </c>
    </row>
    <row r="1469" spans="7:7" x14ac:dyDescent="0.35">
      <c r="G1469" s="2" t="str">
        <f>IFERROR(VLOOKUP(B1469, SOE!F:G, 2, FALSE), "No probado")</f>
        <v>No probado</v>
      </c>
    </row>
    <row r="1470" spans="7:7" x14ac:dyDescent="0.35">
      <c r="G1470" s="2" t="str">
        <f>IFERROR(VLOOKUP(B1470, SOE!F:G, 2, FALSE), "No probado")</f>
        <v>No probado</v>
      </c>
    </row>
    <row r="1471" spans="7:7" x14ac:dyDescent="0.35">
      <c r="G1471" s="2" t="str">
        <f>IFERROR(VLOOKUP(B1471, SOE!F:G, 2, FALSE), "No probado")</f>
        <v>No probado</v>
      </c>
    </row>
    <row r="1472" spans="7:7" x14ac:dyDescent="0.35">
      <c r="G1472" s="2" t="str">
        <f>IFERROR(VLOOKUP(B1472, SOE!F:G, 2, FALSE), "No probado")</f>
        <v>No probado</v>
      </c>
    </row>
    <row r="1473" spans="7:7" x14ac:dyDescent="0.35">
      <c r="G1473" s="2" t="str">
        <f>IFERROR(VLOOKUP(B1473, SOE!F:G, 2, FALSE), "No probado")</f>
        <v>No probado</v>
      </c>
    </row>
    <row r="1474" spans="7:7" x14ac:dyDescent="0.35">
      <c r="G1474" s="2" t="str">
        <f>IFERROR(VLOOKUP(B1474, SOE!F:G, 2, FALSE), "No probado")</f>
        <v>No probado</v>
      </c>
    </row>
    <row r="1475" spans="7:7" x14ac:dyDescent="0.35">
      <c r="G1475" s="2" t="str">
        <f>IFERROR(VLOOKUP(B1475, SOE!F:G, 2, FALSE), "No probado")</f>
        <v>No probado</v>
      </c>
    </row>
    <row r="1476" spans="7:7" x14ac:dyDescent="0.35">
      <c r="G1476" s="2" t="str">
        <f>IFERROR(VLOOKUP(B1476, SOE!F:G, 2, FALSE), "No probado")</f>
        <v>No probado</v>
      </c>
    </row>
    <row r="1477" spans="7:7" x14ac:dyDescent="0.35">
      <c r="G1477" s="2" t="str">
        <f>IFERROR(VLOOKUP(B1477, SOE!F:G, 2, FALSE), "No probado")</f>
        <v>No probado</v>
      </c>
    </row>
    <row r="1478" spans="7:7" x14ac:dyDescent="0.35">
      <c r="G1478" s="2" t="str">
        <f>IFERROR(VLOOKUP(B1478, SOE!F:G, 2, FALSE), "No probado")</f>
        <v>No probado</v>
      </c>
    </row>
    <row r="1479" spans="7:7" x14ac:dyDescent="0.35">
      <c r="G1479" s="2" t="str">
        <f>IFERROR(VLOOKUP(B1479, SOE!F:G, 2, FALSE), "No probado")</f>
        <v>No probado</v>
      </c>
    </row>
    <row r="1480" spans="7:7" x14ac:dyDescent="0.35">
      <c r="G1480" s="2" t="str">
        <f>IFERROR(VLOOKUP(B1480, SOE!F:G, 2, FALSE), "No probado")</f>
        <v>No probado</v>
      </c>
    </row>
    <row r="1481" spans="7:7" x14ac:dyDescent="0.35">
      <c r="G1481" s="2" t="str">
        <f>IFERROR(VLOOKUP(B1481, SOE!F:G, 2, FALSE), "No probado")</f>
        <v>No probado</v>
      </c>
    </row>
    <row r="1482" spans="7:7" x14ac:dyDescent="0.35">
      <c r="G1482" s="2" t="str">
        <f>IFERROR(VLOOKUP(B1482, SOE!F:G, 2, FALSE), "No probado")</f>
        <v>No probado</v>
      </c>
    </row>
    <row r="1483" spans="7:7" x14ac:dyDescent="0.35">
      <c r="G1483" s="2" t="str">
        <f>IFERROR(VLOOKUP(B1483, SOE!F:G, 2, FALSE), "No probado")</f>
        <v>No probado</v>
      </c>
    </row>
    <row r="1484" spans="7:7" x14ac:dyDescent="0.35">
      <c r="G1484" s="2" t="str">
        <f>IFERROR(VLOOKUP(B1484, SOE!F:G, 2, FALSE), "No probado")</f>
        <v>No probado</v>
      </c>
    </row>
    <row r="1485" spans="7:7" x14ac:dyDescent="0.35">
      <c r="G1485" s="2" t="str">
        <f>IFERROR(VLOOKUP(B1485, SOE!F:G, 2, FALSE), "No probado")</f>
        <v>No probado</v>
      </c>
    </row>
    <row r="1486" spans="7:7" x14ac:dyDescent="0.35">
      <c r="G1486" s="2" t="str">
        <f>IFERROR(VLOOKUP(B1486, SOE!F:G, 2, FALSE), "No probado")</f>
        <v>No probado</v>
      </c>
    </row>
    <row r="1487" spans="7:7" x14ac:dyDescent="0.35">
      <c r="G1487" s="2" t="str">
        <f>IFERROR(VLOOKUP(B1487, SOE!F:G, 2, FALSE), "No probado")</f>
        <v>No probado</v>
      </c>
    </row>
    <row r="1488" spans="7:7" x14ac:dyDescent="0.35">
      <c r="G1488" s="2" t="str">
        <f>IFERROR(VLOOKUP(B1488, SOE!F:G, 2, FALSE), "No probado")</f>
        <v>No probado</v>
      </c>
    </row>
    <row r="1489" spans="7:7" x14ac:dyDescent="0.35">
      <c r="G1489" s="2" t="str">
        <f>IFERROR(VLOOKUP(B1489, SOE!F:G, 2, FALSE), "No probado")</f>
        <v>No probado</v>
      </c>
    </row>
    <row r="1490" spans="7:7" x14ac:dyDescent="0.35">
      <c r="G1490" s="2" t="str">
        <f>IFERROR(VLOOKUP(B1490, SOE!F:G, 2, FALSE), "No probado")</f>
        <v>No probado</v>
      </c>
    </row>
    <row r="1491" spans="7:7" x14ac:dyDescent="0.35">
      <c r="G1491" s="2" t="str">
        <f>IFERROR(VLOOKUP(B1491, SOE!F:G, 2, FALSE), "No probado")</f>
        <v>No probado</v>
      </c>
    </row>
    <row r="1492" spans="7:7" x14ac:dyDescent="0.35">
      <c r="G1492" s="2" t="str">
        <f>IFERROR(VLOOKUP(B1492, SOE!F:G, 2, FALSE), "No probado")</f>
        <v>No probado</v>
      </c>
    </row>
    <row r="1493" spans="7:7" x14ac:dyDescent="0.35">
      <c r="G1493" s="2" t="str">
        <f>IFERROR(VLOOKUP(B1493, SOE!F:G, 2, FALSE), "No probado")</f>
        <v>No probado</v>
      </c>
    </row>
    <row r="1494" spans="7:7" x14ac:dyDescent="0.35">
      <c r="G1494" s="2" t="str">
        <f>IFERROR(VLOOKUP(B1494, SOE!F:G, 2, FALSE), "No probado")</f>
        <v>No probado</v>
      </c>
    </row>
    <row r="1495" spans="7:7" x14ac:dyDescent="0.35">
      <c r="G1495" s="2" t="str">
        <f>IFERROR(VLOOKUP(B1495, SOE!F:G, 2, FALSE), "No probado")</f>
        <v>No probado</v>
      </c>
    </row>
    <row r="1496" spans="7:7" x14ac:dyDescent="0.35">
      <c r="G1496" s="2" t="str">
        <f>IFERROR(VLOOKUP(B1496, SOE!F:G, 2, FALSE), "No probado")</f>
        <v>No probado</v>
      </c>
    </row>
    <row r="1497" spans="7:7" x14ac:dyDescent="0.35">
      <c r="G1497" s="2" t="str">
        <f>IFERROR(VLOOKUP(B1497, SOE!F:G, 2, FALSE), "No probado")</f>
        <v>No probado</v>
      </c>
    </row>
    <row r="1498" spans="7:7" x14ac:dyDescent="0.35">
      <c r="G1498" s="2" t="str">
        <f>IFERROR(VLOOKUP(B1498, SOE!F:G, 2, FALSE), "No probado")</f>
        <v>No probado</v>
      </c>
    </row>
    <row r="1499" spans="7:7" x14ac:dyDescent="0.35">
      <c r="G1499" s="2" t="str">
        <f>IFERROR(VLOOKUP(B1499, SOE!F:G, 2, FALSE), "No probado")</f>
        <v>No probado</v>
      </c>
    </row>
    <row r="1500" spans="7:7" x14ac:dyDescent="0.35">
      <c r="G1500" s="2" t="str">
        <f>IFERROR(VLOOKUP(B1500, SOE!F:G, 2, FALSE), "No probado")</f>
        <v>No probado</v>
      </c>
    </row>
    <row r="1501" spans="7:7" x14ac:dyDescent="0.35">
      <c r="G1501" s="2" t="str">
        <f>IFERROR(VLOOKUP(B1501, SOE!F:G, 2, FALSE), "No probado")</f>
        <v>No probado</v>
      </c>
    </row>
    <row r="1502" spans="7:7" x14ac:dyDescent="0.35">
      <c r="G1502" s="2" t="str">
        <f>IFERROR(VLOOKUP(B1502, SOE!F:G, 2, FALSE), "No probado")</f>
        <v>No probado</v>
      </c>
    </row>
    <row r="1503" spans="7:7" x14ac:dyDescent="0.35">
      <c r="G1503" s="2" t="str">
        <f>IFERROR(VLOOKUP(B1503, SOE!F:G, 2, FALSE), "No probado")</f>
        <v>No probado</v>
      </c>
    </row>
    <row r="1504" spans="7:7" x14ac:dyDescent="0.35">
      <c r="G1504" s="2" t="str">
        <f>IFERROR(VLOOKUP(B1504, SOE!F:G, 2, FALSE), "No probado")</f>
        <v>No probado</v>
      </c>
    </row>
    <row r="1505" spans="7:7" x14ac:dyDescent="0.35">
      <c r="G1505" s="2" t="str">
        <f>IFERROR(VLOOKUP(B1505, SOE!F:G, 2, FALSE), "No probado")</f>
        <v>No probado</v>
      </c>
    </row>
    <row r="1506" spans="7:7" x14ac:dyDescent="0.35">
      <c r="G1506" s="2" t="str">
        <f>IFERROR(VLOOKUP(B1506, SOE!F:G, 2, FALSE), "No probado")</f>
        <v>No probado</v>
      </c>
    </row>
    <row r="1507" spans="7:7" x14ac:dyDescent="0.35">
      <c r="G1507" s="2" t="str">
        <f>IFERROR(VLOOKUP(B1507, SOE!F:G, 2, FALSE), "No probado")</f>
        <v>No probado</v>
      </c>
    </row>
    <row r="1508" spans="7:7" x14ac:dyDescent="0.35">
      <c r="G1508" s="2" t="str">
        <f>IFERROR(VLOOKUP(B1508, SOE!F:G, 2, FALSE), "No probado")</f>
        <v>No probado</v>
      </c>
    </row>
    <row r="1509" spans="7:7" x14ac:dyDescent="0.35">
      <c r="G1509" s="2" t="str">
        <f>IFERROR(VLOOKUP(B1509, SOE!F:G, 2, FALSE), "No probado")</f>
        <v>No probado</v>
      </c>
    </row>
    <row r="1510" spans="7:7" x14ac:dyDescent="0.35">
      <c r="G1510" s="2" t="str">
        <f>IFERROR(VLOOKUP(B1510, SOE!F:G, 2, FALSE), "No probado")</f>
        <v>No probado</v>
      </c>
    </row>
    <row r="1511" spans="7:7" x14ac:dyDescent="0.35">
      <c r="G1511" s="2" t="str">
        <f>IFERROR(VLOOKUP(B1511, SOE!F:G, 2, FALSE), "No probado")</f>
        <v>No probado</v>
      </c>
    </row>
    <row r="1512" spans="7:7" x14ac:dyDescent="0.35">
      <c r="G1512" s="2" t="str">
        <f>IFERROR(VLOOKUP(B1512, SOE!F:G, 2, FALSE), "No probado")</f>
        <v>No probado</v>
      </c>
    </row>
    <row r="1513" spans="7:7" x14ac:dyDescent="0.35">
      <c r="G1513" s="2" t="str">
        <f>IFERROR(VLOOKUP(B1513, SOE!F:G, 2, FALSE), "No probado")</f>
        <v>No probado</v>
      </c>
    </row>
    <row r="1514" spans="7:7" x14ac:dyDescent="0.35">
      <c r="G1514" s="2" t="str">
        <f>IFERROR(VLOOKUP(B1514, SOE!F:G, 2, FALSE), "No probado")</f>
        <v>No probado</v>
      </c>
    </row>
    <row r="1515" spans="7:7" x14ac:dyDescent="0.35">
      <c r="G1515" s="2" t="str">
        <f>IFERROR(VLOOKUP(B1515, SOE!F:G, 2, FALSE), "No probado")</f>
        <v>No probado</v>
      </c>
    </row>
    <row r="1516" spans="7:7" x14ac:dyDescent="0.35">
      <c r="G1516" s="2" t="str">
        <f>IFERROR(VLOOKUP(B1516, SOE!F:G, 2, FALSE), "No probado")</f>
        <v>No probado</v>
      </c>
    </row>
    <row r="1517" spans="7:7" x14ac:dyDescent="0.35">
      <c r="G1517" s="2" t="str">
        <f>IFERROR(VLOOKUP(B1517, SOE!F:G, 2, FALSE), "No probado")</f>
        <v>No probado</v>
      </c>
    </row>
    <row r="1518" spans="7:7" x14ac:dyDescent="0.35">
      <c r="G1518" s="2" t="str">
        <f>IFERROR(VLOOKUP(B1518, SOE!F:G, 2, FALSE), "No probado")</f>
        <v>No probado</v>
      </c>
    </row>
    <row r="1519" spans="7:7" x14ac:dyDescent="0.35">
      <c r="G1519" s="2" t="str">
        <f>IFERROR(VLOOKUP(B1519, SOE!F:G, 2, FALSE), "No probado")</f>
        <v>No probado</v>
      </c>
    </row>
    <row r="1520" spans="7:7" x14ac:dyDescent="0.35">
      <c r="G1520" s="2" t="str">
        <f>IFERROR(VLOOKUP(B1520, SOE!F:G, 2, FALSE), "No probado")</f>
        <v>No probado</v>
      </c>
    </row>
    <row r="1521" spans="7:7" x14ac:dyDescent="0.35">
      <c r="G1521" s="2" t="str">
        <f>IFERROR(VLOOKUP(B1521, SOE!F:G, 2, FALSE), "No probado")</f>
        <v>No probado</v>
      </c>
    </row>
    <row r="1522" spans="7:7" x14ac:dyDescent="0.35">
      <c r="G1522" s="2" t="str">
        <f>IFERROR(VLOOKUP(B1522, SOE!F:G, 2, FALSE), "No probado")</f>
        <v>No probado</v>
      </c>
    </row>
    <row r="1523" spans="7:7" x14ac:dyDescent="0.35">
      <c r="G1523" s="2" t="str">
        <f>IFERROR(VLOOKUP(B1523, SOE!F:G, 2, FALSE), "No probado")</f>
        <v>No probado</v>
      </c>
    </row>
    <row r="1524" spans="7:7" x14ac:dyDescent="0.35">
      <c r="G1524" s="2" t="str">
        <f>IFERROR(VLOOKUP(B1524, SOE!F:G, 2, FALSE), "No probado")</f>
        <v>No probado</v>
      </c>
    </row>
    <row r="1525" spans="7:7" x14ac:dyDescent="0.35">
      <c r="G1525" s="2" t="str">
        <f>IFERROR(VLOOKUP(B1525, SOE!F:G, 2, FALSE), "No probado")</f>
        <v>No probado</v>
      </c>
    </row>
    <row r="1526" spans="7:7" x14ac:dyDescent="0.35">
      <c r="G1526" s="2" t="str">
        <f>IFERROR(VLOOKUP(B1526, SOE!F:G, 2, FALSE), "No probado")</f>
        <v>No probado</v>
      </c>
    </row>
    <row r="1527" spans="7:7" x14ac:dyDescent="0.35">
      <c r="G1527" s="2" t="str">
        <f>IFERROR(VLOOKUP(B1527, SOE!F:G, 2, FALSE), "No probado")</f>
        <v>No probado</v>
      </c>
    </row>
    <row r="1528" spans="7:7" x14ac:dyDescent="0.35">
      <c r="G1528" s="2" t="str">
        <f>IFERROR(VLOOKUP(B1528, SOE!F:G, 2, FALSE), "No probado")</f>
        <v>No probado</v>
      </c>
    </row>
    <row r="1529" spans="7:7" x14ac:dyDescent="0.35">
      <c r="G1529" s="2" t="str">
        <f>IFERROR(VLOOKUP(B1529, SOE!F:G, 2, FALSE), "No probado")</f>
        <v>No probado</v>
      </c>
    </row>
    <row r="1530" spans="7:7" x14ac:dyDescent="0.35">
      <c r="G1530" s="2" t="str">
        <f>IFERROR(VLOOKUP(B1530, SOE!F:G, 2, FALSE), "No probado")</f>
        <v>No probado</v>
      </c>
    </row>
    <row r="1531" spans="7:7" x14ac:dyDescent="0.35">
      <c r="G1531" s="2" t="str">
        <f>IFERROR(VLOOKUP(B1531, SOE!F:G, 2, FALSE), "No probado")</f>
        <v>No probado</v>
      </c>
    </row>
    <row r="1532" spans="7:7" x14ac:dyDescent="0.35">
      <c r="G1532" s="2" t="str">
        <f>IFERROR(VLOOKUP(B1532, SOE!F:G, 2, FALSE), "No probado")</f>
        <v>No probado</v>
      </c>
    </row>
    <row r="1533" spans="7:7" x14ac:dyDescent="0.35">
      <c r="G1533" s="2" t="str">
        <f>IFERROR(VLOOKUP(B1533, SOE!F:G, 2, FALSE), "No probado")</f>
        <v>No probado</v>
      </c>
    </row>
    <row r="1534" spans="7:7" x14ac:dyDescent="0.35">
      <c r="G1534" s="2" t="str">
        <f>IFERROR(VLOOKUP(B1534, SOE!F:G, 2, FALSE), "No probado")</f>
        <v>No probado</v>
      </c>
    </row>
    <row r="1535" spans="7:7" x14ac:dyDescent="0.35">
      <c r="G1535" s="2" t="str">
        <f>IFERROR(VLOOKUP(B1535, SOE!F:G, 2, FALSE), "No probado")</f>
        <v>No probado</v>
      </c>
    </row>
  </sheetData>
  <mergeCells count="1">
    <mergeCell ref="K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2578-5780-4AB4-9902-A8A5C8A19338}">
  <sheetPr codeName="Hoja4"/>
  <dimension ref="A1:H1494"/>
  <sheetViews>
    <sheetView workbookViewId="0">
      <selection activeCell="D5" sqref="D5"/>
    </sheetView>
  </sheetViews>
  <sheetFormatPr baseColWidth="10" defaultColWidth="11.453125" defaultRowHeight="14.5" x14ac:dyDescent="0.35"/>
  <cols>
    <col min="1" max="1" width="6.7265625" style="6" customWidth="1"/>
    <col min="2" max="2" width="11.7265625" style="5" customWidth="1"/>
    <col min="3" max="3" width="11.7265625" style="4" customWidth="1"/>
    <col min="4" max="4" width="8.81640625" style="3" customWidth="1"/>
    <col min="5" max="5" width="15.453125" style="4" bestFit="1" customWidth="1"/>
    <col min="6" max="6" width="31.7265625" style="3" bestFit="1" customWidth="1"/>
    <col min="7" max="7" width="11.453125" style="2" bestFit="1" customWidth="1"/>
    <col min="8" max="8" width="34.26953125" style="1" customWidth="1"/>
  </cols>
  <sheetData>
    <row r="1" spans="1:8" x14ac:dyDescent="0.35">
      <c r="A1" s="12" t="s">
        <v>16</v>
      </c>
      <c r="B1" s="13" t="s">
        <v>15</v>
      </c>
      <c r="C1" s="12" t="s">
        <v>14</v>
      </c>
      <c r="D1" s="11" t="s">
        <v>13</v>
      </c>
      <c r="E1" s="12" t="s">
        <v>12</v>
      </c>
      <c r="F1" s="11" t="s">
        <v>11</v>
      </c>
      <c r="G1" s="10" t="s">
        <v>10</v>
      </c>
      <c r="H1" s="9" t="s">
        <v>9</v>
      </c>
    </row>
    <row r="2" spans="1:8" x14ac:dyDescent="0.35">
      <c r="A2" s="4" t="s">
        <v>30</v>
      </c>
      <c r="B2" s="5" t="s">
        <v>30</v>
      </c>
      <c r="C2" s="4" t="s">
        <v>30</v>
      </c>
      <c r="D2" s="3" t="s">
        <v>30</v>
      </c>
      <c r="E2" s="4" t="s">
        <v>30</v>
      </c>
      <c r="F2" s="3" t="s">
        <v>30</v>
      </c>
      <c r="G2" s="2" t="str">
        <f>IFERROR((VLOOKUP(B2,SOE!F:G,2,FALSE)),"No probado")</f>
        <v>No probado</v>
      </c>
    </row>
    <row r="3" spans="1:8" x14ac:dyDescent="0.35">
      <c r="A3" s="4"/>
      <c r="G3" s="2" t="str">
        <f>IFERROR((VLOOKUP(B3,SOE!F:G,2,FALSE)),"No probado")</f>
        <v>No probado</v>
      </c>
    </row>
    <row r="4" spans="1:8" x14ac:dyDescent="0.35">
      <c r="A4" s="4"/>
      <c r="G4" s="2" t="str">
        <f>IFERROR((VLOOKUP(B4,SOE!F:G,2,FALSE)),"No probado")</f>
        <v>No probado</v>
      </c>
    </row>
    <row r="5" spans="1:8" x14ac:dyDescent="0.35">
      <c r="A5" s="4"/>
      <c r="G5" s="2" t="str">
        <f>IFERROR((VLOOKUP(B5,SOE!F:G,2,FALSE)),"No probado")</f>
        <v>No probado</v>
      </c>
    </row>
    <row r="6" spans="1:8" x14ac:dyDescent="0.35">
      <c r="A6" s="4"/>
      <c r="G6" s="2" t="str">
        <f>IFERROR((VLOOKUP(B6,SOE!F:G,2,FALSE)),"No probado")</f>
        <v>No probado</v>
      </c>
    </row>
    <row r="7" spans="1:8" x14ac:dyDescent="0.35">
      <c r="A7" s="4"/>
      <c r="G7" s="2" t="str">
        <f>IFERROR((VLOOKUP(B7,SOE!F:G,2,FALSE)),"No probado")</f>
        <v>No probado</v>
      </c>
    </row>
    <row r="8" spans="1:8" x14ac:dyDescent="0.35">
      <c r="A8" s="4"/>
      <c r="G8" s="2" t="str">
        <f>IFERROR((VLOOKUP(B8,SOE!F:G,2,FALSE)),"No probado")</f>
        <v>No probado</v>
      </c>
    </row>
    <row r="9" spans="1:8" x14ac:dyDescent="0.35">
      <c r="A9" s="4"/>
      <c r="G9" s="2" t="str">
        <f>IFERROR((VLOOKUP(B9,SOE!F:G,2,FALSE)),"No probado")</f>
        <v>No probado</v>
      </c>
    </row>
    <row r="10" spans="1:8" x14ac:dyDescent="0.35">
      <c r="A10" s="4"/>
      <c r="G10" s="2" t="str">
        <f>IFERROR((VLOOKUP(B10,SOE!F:G,2,FALSE)),"No probado")</f>
        <v>No probado</v>
      </c>
    </row>
    <row r="11" spans="1:8" x14ac:dyDescent="0.35">
      <c r="A11" s="4"/>
      <c r="G11" s="2" t="str">
        <f>IFERROR((VLOOKUP(B11,SOE!F:G,2,FALSE)),"No probado")</f>
        <v>No probado</v>
      </c>
    </row>
    <row r="12" spans="1:8" x14ac:dyDescent="0.35">
      <c r="A12" s="4"/>
      <c r="G12" s="2" t="str">
        <f>IFERROR((VLOOKUP(B12,SOE!F:G,2,FALSE)),"No probado")</f>
        <v>No probado</v>
      </c>
    </row>
    <row r="13" spans="1:8" x14ac:dyDescent="0.35">
      <c r="A13" s="4"/>
      <c r="G13" s="2" t="str">
        <f>IFERROR((VLOOKUP(B13,SOE!F:G,2,FALSE)),"No probado")</f>
        <v>No probado</v>
      </c>
    </row>
    <row r="14" spans="1:8" x14ac:dyDescent="0.35">
      <c r="A14" s="4"/>
      <c r="G14" s="2" t="str">
        <f>IFERROR((VLOOKUP(B14,SOE!F:G,2,FALSE)),"No probado")</f>
        <v>No probado</v>
      </c>
    </row>
    <row r="15" spans="1:8" x14ac:dyDescent="0.35">
      <c r="A15" s="4"/>
      <c r="G15" s="2" t="str">
        <f>IFERROR((VLOOKUP(B15,SOE!F:G,2,FALSE)),"No probado")</f>
        <v>No probado</v>
      </c>
    </row>
    <row r="16" spans="1:8" x14ac:dyDescent="0.35">
      <c r="A16" s="4"/>
      <c r="G16" s="2" t="str">
        <f>IFERROR((VLOOKUP(B16,SOE!F:G,2,FALSE)),"No probado")</f>
        <v>No probado</v>
      </c>
    </row>
    <row r="17" spans="1:7" x14ac:dyDescent="0.35">
      <c r="A17" s="4"/>
      <c r="G17" s="2" t="str">
        <f>IFERROR((VLOOKUP(B17,SOE!F:G,2,FALSE)),"No probado")</f>
        <v>No probado</v>
      </c>
    </row>
    <row r="18" spans="1:7" x14ac:dyDescent="0.35">
      <c r="A18" s="4"/>
      <c r="G18" s="2" t="str">
        <f>IFERROR((VLOOKUP(B18,SOE!F:G,2,FALSE)),"No probado")</f>
        <v>No probado</v>
      </c>
    </row>
    <row r="19" spans="1:7" x14ac:dyDescent="0.35">
      <c r="A19" s="4"/>
      <c r="G19" s="2" t="str">
        <f>IFERROR((VLOOKUP(B19,SOE!F:G,2,FALSE)),"No probado")</f>
        <v>No probado</v>
      </c>
    </row>
    <row r="20" spans="1:7" x14ac:dyDescent="0.35">
      <c r="A20" s="4"/>
      <c r="G20" s="2" t="str">
        <f>IFERROR((VLOOKUP(B20,SOE!F:G,2,FALSE)),"No probado")</f>
        <v>No probado</v>
      </c>
    </row>
    <row r="21" spans="1:7" x14ac:dyDescent="0.35">
      <c r="A21" s="4"/>
      <c r="G21" s="2" t="str">
        <f>IFERROR((VLOOKUP(B21,SOE!F:G,2,FALSE)),"No probado")</f>
        <v>No probado</v>
      </c>
    </row>
    <row r="22" spans="1:7" x14ac:dyDescent="0.35">
      <c r="A22" s="4"/>
      <c r="G22" s="2" t="str">
        <f>IFERROR((VLOOKUP(B22,SOE!F:G,2,FALSE)),"No probado")</f>
        <v>No probado</v>
      </c>
    </row>
    <row r="23" spans="1:7" x14ac:dyDescent="0.35">
      <c r="A23" s="4"/>
      <c r="G23" s="2" t="str">
        <f>IFERROR((VLOOKUP(B23,SOE!F:G,2,FALSE)),"No probado")</f>
        <v>No probado</v>
      </c>
    </row>
    <row r="24" spans="1:7" x14ac:dyDescent="0.35">
      <c r="A24" s="4"/>
      <c r="G24" s="2" t="str">
        <f>IFERROR((VLOOKUP(B24,SOE!F:G,2,FALSE)),"No probado")</f>
        <v>No probado</v>
      </c>
    </row>
    <row r="25" spans="1:7" x14ac:dyDescent="0.35">
      <c r="A25" s="4"/>
      <c r="G25" s="2" t="str">
        <f>IFERROR((VLOOKUP(B25,SOE!F:G,2,FALSE)),"No probado")</f>
        <v>No probado</v>
      </c>
    </row>
    <row r="26" spans="1:7" x14ac:dyDescent="0.35">
      <c r="A26" s="4"/>
      <c r="G26" s="2" t="str">
        <f>IFERROR((VLOOKUP(B26,SOE!F:G,2,FALSE)),"No probado")</f>
        <v>No probado</v>
      </c>
    </row>
    <row r="27" spans="1:7" x14ac:dyDescent="0.35">
      <c r="A27" s="4"/>
      <c r="G27" s="2" t="str">
        <f>IFERROR((VLOOKUP(B27,SOE!F:G,2,FALSE)),"No probado")</f>
        <v>No probado</v>
      </c>
    </row>
    <row r="28" spans="1:7" x14ac:dyDescent="0.35">
      <c r="A28" s="4"/>
      <c r="G28" s="2" t="str">
        <f>IFERROR((VLOOKUP(B28,SOE!F:G,2,FALSE)),"No probado")</f>
        <v>No probado</v>
      </c>
    </row>
    <row r="29" spans="1:7" x14ac:dyDescent="0.35">
      <c r="A29" s="4"/>
      <c r="G29" s="2" t="str">
        <f>IFERROR((VLOOKUP(B29,SOE!F:G,2,FALSE)),"No probado")</f>
        <v>No probado</v>
      </c>
    </row>
    <row r="30" spans="1:7" x14ac:dyDescent="0.35">
      <c r="A30" s="4"/>
      <c r="G30" s="2" t="str">
        <f>IFERROR((VLOOKUP(B30,SOE!F:G,2,FALSE)),"No probado")</f>
        <v>No probado</v>
      </c>
    </row>
    <row r="31" spans="1:7" x14ac:dyDescent="0.35">
      <c r="A31" s="4"/>
      <c r="G31" s="2" t="str">
        <f>IFERROR((VLOOKUP(B31,SOE!F:G,2,FALSE)),"No probado")</f>
        <v>No probado</v>
      </c>
    </row>
    <row r="32" spans="1:7" x14ac:dyDescent="0.35">
      <c r="A32" s="4"/>
      <c r="G32" s="2" t="str">
        <f>IFERROR((VLOOKUP(B32,SOE!F:G,2,FALSE)),"No probado")</f>
        <v>No probado</v>
      </c>
    </row>
    <row r="33" spans="1:7" x14ac:dyDescent="0.35">
      <c r="A33" s="4"/>
      <c r="G33" s="2" t="str">
        <f>IFERROR((VLOOKUP(B33,SOE!F:G,2,FALSE)),"No probado")</f>
        <v>No probado</v>
      </c>
    </row>
    <row r="34" spans="1:7" x14ac:dyDescent="0.35">
      <c r="A34" s="4"/>
      <c r="G34" s="2" t="str">
        <f>IFERROR((VLOOKUP(B34,SOE!F:G,2,FALSE)),"No probado")</f>
        <v>No probado</v>
      </c>
    </row>
    <row r="35" spans="1:7" x14ac:dyDescent="0.35">
      <c r="A35" s="4"/>
      <c r="G35" s="2" t="str">
        <f>IFERROR((VLOOKUP(B35,SOE!F:G,2,FALSE)),"No probado")</f>
        <v>No probado</v>
      </c>
    </row>
    <row r="36" spans="1:7" x14ac:dyDescent="0.35">
      <c r="A36" s="4"/>
      <c r="G36" s="2" t="str">
        <f>IFERROR((VLOOKUP(B36,SOE!F:G,2,FALSE)),"No probado")</f>
        <v>No probado</v>
      </c>
    </row>
    <row r="37" spans="1:7" x14ac:dyDescent="0.35">
      <c r="A37" s="4"/>
      <c r="G37" s="2" t="str">
        <f>IFERROR((VLOOKUP(B37,SOE!F:G,2,FALSE)),"No probado")</f>
        <v>No probado</v>
      </c>
    </row>
    <row r="38" spans="1:7" x14ac:dyDescent="0.35">
      <c r="A38" s="4"/>
      <c r="G38" s="2" t="str">
        <f>IFERROR((VLOOKUP(B38,SOE!F:G,2,FALSE)),"No probado")</f>
        <v>No probado</v>
      </c>
    </row>
    <row r="39" spans="1:7" x14ac:dyDescent="0.35">
      <c r="A39" s="4"/>
      <c r="G39" s="2" t="str">
        <f>IFERROR((VLOOKUP(B39,SOE!F:G,2,FALSE)),"No probado")</f>
        <v>No probado</v>
      </c>
    </row>
    <row r="40" spans="1:7" x14ac:dyDescent="0.35">
      <c r="A40" s="4"/>
      <c r="G40" s="2" t="str">
        <f>IFERROR((VLOOKUP(B40,SOE!F:G,2,FALSE)),"No probado")</f>
        <v>No probado</v>
      </c>
    </row>
    <row r="41" spans="1:7" x14ac:dyDescent="0.35">
      <c r="A41" s="4"/>
      <c r="G41" s="2" t="str">
        <f>IFERROR((VLOOKUP(B41,SOE!F:G,2,FALSE)),"No probado")</f>
        <v>No probado</v>
      </c>
    </row>
    <row r="42" spans="1:7" x14ac:dyDescent="0.35">
      <c r="A42" s="4"/>
      <c r="G42" s="2" t="str">
        <f>IFERROR((VLOOKUP(B42,SOE!F:G,2,FALSE)),"No probado")</f>
        <v>No probado</v>
      </c>
    </row>
    <row r="43" spans="1:7" x14ac:dyDescent="0.35">
      <c r="A43" s="4"/>
      <c r="G43" s="2" t="str">
        <f>IFERROR((VLOOKUP(B43,SOE!F:G,2,FALSE)),"No probado")</f>
        <v>No probado</v>
      </c>
    </row>
    <row r="44" spans="1:7" x14ac:dyDescent="0.35">
      <c r="A44" s="4"/>
      <c r="G44" s="2" t="str">
        <f>IFERROR((VLOOKUP(B44,SOE!F:G,2,FALSE)),"No probado")</f>
        <v>No probado</v>
      </c>
    </row>
    <row r="45" spans="1:7" x14ac:dyDescent="0.35">
      <c r="A45" s="4"/>
      <c r="G45" s="2" t="str">
        <f>IFERROR((VLOOKUP(B45,SOE!F:G,2,FALSE)),"No probado")</f>
        <v>No probado</v>
      </c>
    </row>
    <row r="46" spans="1:7" x14ac:dyDescent="0.35">
      <c r="A46" s="4"/>
      <c r="G46" s="2" t="str">
        <f>IFERROR((VLOOKUP(B46,SOE!F:G,2,FALSE)),"No probado")</f>
        <v>No probado</v>
      </c>
    </row>
    <row r="47" spans="1:7" x14ac:dyDescent="0.35">
      <c r="A47" s="4"/>
      <c r="G47" s="2" t="str">
        <f>IFERROR((VLOOKUP(B47,SOE!F:G,2,FALSE)),"No probado")</f>
        <v>No probado</v>
      </c>
    </row>
    <row r="48" spans="1:7" x14ac:dyDescent="0.35">
      <c r="A48" s="4"/>
      <c r="G48" s="2" t="str">
        <f>IFERROR((VLOOKUP(B48,SOE!F:G,2,FALSE)),"No probado")</f>
        <v>No probado</v>
      </c>
    </row>
    <row r="49" spans="1:7" x14ac:dyDescent="0.35">
      <c r="A49" s="4"/>
      <c r="G49" s="2" t="str">
        <f>IFERROR((VLOOKUP(B49,SOE!F:G,2,FALSE)),"No probado")</f>
        <v>No probado</v>
      </c>
    </row>
    <row r="50" spans="1:7" x14ac:dyDescent="0.35">
      <c r="A50" s="4"/>
      <c r="G50" s="2" t="str">
        <f>IFERROR((VLOOKUP(B50,SOE!F:G,2,FALSE)),"No probado")</f>
        <v>No probado</v>
      </c>
    </row>
    <row r="51" spans="1:7" x14ac:dyDescent="0.35">
      <c r="A51" s="4"/>
      <c r="G51" s="2" t="str">
        <f>IFERROR((VLOOKUP(B51,SOE!F:G,2,FALSE)),"No probado")</f>
        <v>No probado</v>
      </c>
    </row>
    <row r="52" spans="1:7" x14ac:dyDescent="0.35">
      <c r="A52" s="4"/>
      <c r="G52" s="2" t="str">
        <f>IFERROR((VLOOKUP(B52,SOE!F:G,2,FALSE)),"No probado")</f>
        <v>No probado</v>
      </c>
    </row>
    <row r="53" spans="1:7" x14ac:dyDescent="0.35">
      <c r="A53" s="4"/>
      <c r="G53" s="2" t="str">
        <f>IFERROR((VLOOKUP(B53,SOE!F:G,2,FALSE)),"No probado")</f>
        <v>No probado</v>
      </c>
    </row>
    <row r="54" spans="1:7" x14ac:dyDescent="0.35">
      <c r="A54" s="4"/>
      <c r="G54" s="2" t="str">
        <f>IFERROR((VLOOKUP(B54,SOE!F:G,2,FALSE)),"No probado")</f>
        <v>No probado</v>
      </c>
    </row>
    <row r="55" spans="1:7" x14ac:dyDescent="0.35">
      <c r="A55" s="4"/>
      <c r="G55" s="2" t="str">
        <f>IFERROR((VLOOKUP(B55,SOE!F:G,2,FALSE)),"No probado")</f>
        <v>No probado</v>
      </c>
    </row>
    <row r="56" spans="1:7" x14ac:dyDescent="0.35">
      <c r="A56" s="4"/>
      <c r="G56" s="2" t="str">
        <f>IFERROR((VLOOKUP(B56,SOE!F:G,2,FALSE)),"No probado")</f>
        <v>No probado</v>
      </c>
    </row>
    <row r="57" spans="1:7" x14ac:dyDescent="0.35">
      <c r="A57" s="4"/>
      <c r="G57" s="2" t="str">
        <f>IFERROR((VLOOKUP(B57,SOE!F:G,2,FALSE)),"No probado")</f>
        <v>No probado</v>
      </c>
    </row>
    <row r="58" spans="1:7" x14ac:dyDescent="0.35">
      <c r="A58" s="4"/>
      <c r="G58" s="2" t="str">
        <f>IFERROR((VLOOKUP(B58,SOE!F:G,2,FALSE)),"No probado")</f>
        <v>No probado</v>
      </c>
    </row>
    <row r="59" spans="1:7" x14ac:dyDescent="0.35">
      <c r="A59" s="4"/>
      <c r="G59" s="2" t="str">
        <f>IFERROR((VLOOKUP(B59,SOE!F:G,2,FALSE)),"No probado")</f>
        <v>No probado</v>
      </c>
    </row>
    <row r="60" spans="1:7" x14ac:dyDescent="0.35">
      <c r="A60" s="4"/>
      <c r="G60" s="2" t="str">
        <f>IFERROR((VLOOKUP(B60,SOE!F:G,2,FALSE)),"No probado")</f>
        <v>No probado</v>
      </c>
    </row>
    <row r="61" spans="1:7" x14ac:dyDescent="0.35">
      <c r="A61" s="4"/>
      <c r="G61" s="2" t="str">
        <f>IFERROR((VLOOKUP(B61,SOE!F:G,2,FALSE)),"No probado")</f>
        <v>No probado</v>
      </c>
    </row>
    <row r="62" spans="1:7" x14ac:dyDescent="0.35">
      <c r="A62" s="4"/>
      <c r="G62" s="2" t="str">
        <f>IFERROR((VLOOKUP(B62,SOE!F:G,2,FALSE)),"No probado")</f>
        <v>No probado</v>
      </c>
    </row>
    <row r="63" spans="1:7" x14ac:dyDescent="0.35">
      <c r="A63" s="4"/>
      <c r="G63" s="2" t="str">
        <f>IFERROR((VLOOKUP(B63,SOE!F:G,2,FALSE)),"No probado")</f>
        <v>No probado</v>
      </c>
    </row>
    <row r="64" spans="1:7" x14ac:dyDescent="0.35">
      <c r="A64" s="4"/>
      <c r="G64" s="2" t="str">
        <f>IFERROR((VLOOKUP(B64,SOE!F:G,2,FALSE)),"No probado")</f>
        <v>No probado</v>
      </c>
    </row>
    <row r="65" spans="1:7" x14ac:dyDescent="0.35">
      <c r="A65" s="4"/>
      <c r="G65" s="2" t="str">
        <f>IFERROR((VLOOKUP(B65,SOE!F:G,2,FALSE)),"No probado")</f>
        <v>No probado</v>
      </c>
    </row>
    <row r="66" spans="1:7" x14ac:dyDescent="0.35">
      <c r="A66" s="4"/>
      <c r="G66" s="2" t="str">
        <f>IFERROR((VLOOKUP(B66,SOE!F:G,2,FALSE)),"No probado")</f>
        <v>No probado</v>
      </c>
    </row>
    <row r="67" spans="1:7" x14ac:dyDescent="0.35">
      <c r="A67" s="4"/>
      <c r="G67" s="2" t="str">
        <f>IFERROR((VLOOKUP(B67,SOE!F:G,2,FALSE)),"No probado")</f>
        <v>No probado</v>
      </c>
    </row>
    <row r="68" spans="1:7" x14ac:dyDescent="0.35">
      <c r="A68" s="4"/>
      <c r="G68" s="2" t="str">
        <f>IFERROR((VLOOKUP(B68,SOE!F:G,2,FALSE)),"No probado")</f>
        <v>No probado</v>
      </c>
    </row>
    <row r="69" spans="1:7" x14ac:dyDescent="0.35">
      <c r="A69" s="4"/>
      <c r="G69" s="2" t="str">
        <f>IFERROR((VLOOKUP(B69,SOE!F:G,2,FALSE)),"No probado")</f>
        <v>No probado</v>
      </c>
    </row>
    <row r="70" spans="1:7" x14ac:dyDescent="0.35">
      <c r="A70" s="4"/>
      <c r="G70" s="2" t="str">
        <f>IFERROR((VLOOKUP(B70,SOE!F:G,2,FALSE)),"No probado")</f>
        <v>No probado</v>
      </c>
    </row>
    <row r="71" spans="1:7" x14ac:dyDescent="0.35">
      <c r="A71" s="4"/>
      <c r="G71" s="2" t="str">
        <f>IFERROR((VLOOKUP(B71,SOE!F:G,2,FALSE)),"No probado")</f>
        <v>No probado</v>
      </c>
    </row>
    <row r="72" spans="1:7" x14ac:dyDescent="0.35">
      <c r="A72" s="4"/>
      <c r="G72" s="2" t="str">
        <f>IFERROR((VLOOKUP(B72,SOE!F:G,2,FALSE)),"No probado")</f>
        <v>No probado</v>
      </c>
    </row>
    <row r="73" spans="1:7" x14ac:dyDescent="0.35">
      <c r="A73" s="4"/>
      <c r="G73" s="2" t="str">
        <f>IFERROR((VLOOKUP(B73,SOE!F:G,2,FALSE)),"No probado")</f>
        <v>No probado</v>
      </c>
    </row>
    <row r="74" spans="1:7" x14ac:dyDescent="0.35">
      <c r="A74" s="4"/>
      <c r="G74" s="2" t="str">
        <f>IFERROR((VLOOKUP(B74,SOE!F:G,2,FALSE)),"No probado")</f>
        <v>No probado</v>
      </c>
    </row>
    <row r="75" spans="1:7" x14ac:dyDescent="0.35">
      <c r="A75" s="4"/>
      <c r="G75" s="2" t="str">
        <f>IFERROR((VLOOKUP(B75,SOE!F:G,2,FALSE)),"No probado")</f>
        <v>No probado</v>
      </c>
    </row>
    <row r="76" spans="1:7" x14ac:dyDescent="0.35">
      <c r="A76" s="4"/>
      <c r="G76" s="2" t="str">
        <f>IFERROR((VLOOKUP(B76,SOE!F:G,2,FALSE)),"No probado")</f>
        <v>No probado</v>
      </c>
    </row>
    <row r="77" spans="1:7" x14ac:dyDescent="0.35">
      <c r="A77" s="4"/>
      <c r="G77" s="2" t="str">
        <f>IFERROR((VLOOKUP(B77,SOE!F:G,2,FALSE)),"No probado")</f>
        <v>No probado</v>
      </c>
    </row>
    <row r="78" spans="1:7" x14ac:dyDescent="0.35">
      <c r="A78" s="4"/>
      <c r="G78" s="2" t="str">
        <f>IFERROR((VLOOKUP(B78,SOE!F:G,2,FALSE)),"No probado")</f>
        <v>No probado</v>
      </c>
    </row>
    <row r="79" spans="1:7" x14ac:dyDescent="0.35">
      <c r="A79" s="4"/>
      <c r="G79" s="2" t="str">
        <f>IFERROR((VLOOKUP(B79,SOE!F:G,2,FALSE)),"No probado")</f>
        <v>No probado</v>
      </c>
    </row>
    <row r="80" spans="1:7" x14ac:dyDescent="0.35">
      <c r="A80" s="4"/>
      <c r="G80" s="2" t="str">
        <f>IFERROR((VLOOKUP(B80,SOE!F:G,2,FALSE)),"No probado")</f>
        <v>No probado</v>
      </c>
    </row>
    <row r="81" spans="1:7" x14ac:dyDescent="0.35">
      <c r="A81" s="4"/>
      <c r="G81" s="2" t="str">
        <f>IFERROR((VLOOKUP(B81,SOE!F:G,2,FALSE)),"No probado")</f>
        <v>No probado</v>
      </c>
    </row>
    <row r="82" spans="1:7" x14ac:dyDescent="0.35">
      <c r="A82" s="4"/>
      <c r="G82" s="2" t="str">
        <f>IFERROR((VLOOKUP(B82,SOE!F:G,2,FALSE)),"No probado")</f>
        <v>No probado</v>
      </c>
    </row>
    <row r="83" spans="1:7" x14ac:dyDescent="0.35">
      <c r="A83" s="4"/>
      <c r="G83" s="2" t="str">
        <f>IFERROR((VLOOKUP(B83,SOE!F:G,2,FALSE)),"No probado")</f>
        <v>No probado</v>
      </c>
    </row>
    <row r="84" spans="1:7" x14ac:dyDescent="0.35">
      <c r="A84" s="4"/>
      <c r="G84" s="2" t="str">
        <f>IFERROR((VLOOKUP(B84,SOE!F:G,2,FALSE)),"No probado")</f>
        <v>No probado</v>
      </c>
    </row>
    <row r="85" spans="1:7" x14ac:dyDescent="0.35">
      <c r="A85" s="4"/>
      <c r="G85" s="2" t="str">
        <f>IFERROR((VLOOKUP(B85,SOE!F:G,2,FALSE)),"No probado")</f>
        <v>No probado</v>
      </c>
    </row>
    <row r="86" spans="1:7" x14ac:dyDescent="0.35">
      <c r="A86" s="4"/>
      <c r="G86" s="2" t="str">
        <f>IFERROR((VLOOKUP(B86,SOE!F:G,2,FALSE)),"No probado")</f>
        <v>No probado</v>
      </c>
    </row>
    <row r="87" spans="1:7" x14ac:dyDescent="0.35">
      <c r="A87" s="4"/>
      <c r="G87" s="2" t="str">
        <f>IFERROR((VLOOKUP(B87,SOE!F:G,2,FALSE)),"No probado")</f>
        <v>No probado</v>
      </c>
    </row>
    <row r="88" spans="1:7" x14ac:dyDescent="0.35">
      <c r="A88" s="4"/>
      <c r="G88" s="2" t="str">
        <f>IFERROR((VLOOKUP(B88,SOE!F:G,2,FALSE)),"No probado")</f>
        <v>No probado</v>
      </c>
    </row>
    <row r="89" spans="1:7" x14ac:dyDescent="0.35">
      <c r="A89" s="4"/>
      <c r="G89" s="2" t="str">
        <f>IFERROR((VLOOKUP(B89,SOE!F:G,2,FALSE)),"No probado")</f>
        <v>No probado</v>
      </c>
    </row>
    <row r="90" spans="1:7" x14ac:dyDescent="0.35">
      <c r="A90" s="4"/>
      <c r="G90" s="2" t="str">
        <f>IFERROR((VLOOKUP(B90,SOE!F:G,2,FALSE)),"No probado")</f>
        <v>No probado</v>
      </c>
    </row>
    <row r="91" spans="1:7" x14ac:dyDescent="0.35">
      <c r="A91" s="4"/>
      <c r="G91" s="2" t="str">
        <f>IFERROR((VLOOKUP(B91,SOE!F:G,2,FALSE)),"No probado")</f>
        <v>No probado</v>
      </c>
    </row>
    <row r="92" spans="1:7" x14ac:dyDescent="0.35">
      <c r="G92" s="2" t="str">
        <f>IFERROR((VLOOKUP(B92,SOE!F:G,2,FALSE)),"No probado")</f>
        <v>No probado</v>
      </c>
    </row>
    <row r="93" spans="1:7" x14ac:dyDescent="0.35">
      <c r="G93" s="2" t="str">
        <f>IFERROR((VLOOKUP(B93,SOE!F:G,2,FALSE)),"No probado")</f>
        <v>No probado</v>
      </c>
    </row>
    <row r="94" spans="1:7" x14ac:dyDescent="0.35">
      <c r="G94" s="2" t="str">
        <f>IFERROR((VLOOKUP(B94,SOE!F:G,2,FALSE)),"No probado")</f>
        <v>No probado</v>
      </c>
    </row>
    <row r="95" spans="1:7" x14ac:dyDescent="0.35">
      <c r="G95" s="2" t="str">
        <f>IFERROR((VLOOKUP(B95,SOE!F:G,2,FALSE)),"No probado")</f>
        <v>No probado</v>
      </c>
    </row>
    <row r="96" spans="1:7" x14ac:dyDescent="0.35">
      <c r="G96" s="2" t="str">
        <f>IFERROR((VLOOKUP(B96,SOE!F:G,2,FALSE)),"No probado")</f>
        <v>No probado</v>
      </c>
    </row>
    <row r="97" spans="7:7" x14ac:dyDescent="0.35">
      <c r="G97" s="2" t="str">
        <f>IFERROR((VLOOKUP(B97,SOE!F:G,2,FALSE)),"No probado")</f>
        <v>No probado</v>
      </c>
    </row>
    <row r="98" spans="7:7" x14ac:dyDescent="0.35">
      <c r="G98" s="2" t="str">
        <f>IFERROR((VLOOKUP(B98,SOE!F:G,2,FALSE)),"No probado")</f>
        <v>No probado</v>
      </c>
    </row>
    <row r="99" spans="7:7" x14ac:dyDescent="0.35">
      <c r="G99" s="2" t="str">
        <f>IFERROR((VLOOKUP(B99,SOE!F:G,2,FALSE)),"No probado")</f>
        <v>No probado</v>
      </c>
    </row>
    <row r="100" spans="7:7" x14ac:dyDescent="0.35">
      <c r="G100" s="2" t="str">
        <f>IFERROR((VLOOKUP(B100,SOE!F:G,2,FALSE)),"No probado")</f>
        <v>No probado</v>
      </c>
    </row>
    <row r="101" spans="7:7" x14ac:dyDescent="0.35">
      <c r="G101" s="2" t="str">
        <f>IFERROR((VLOOKUP(B101,SOE!F:G,2,FALSE)),"No probado")</f>
        <v>No probado</v>
      </c>
    </row>
    <row r="102" spans="7:7" x14ac:dyDescent="0.35">
      <c r="G102" s="2" t="str">
        <f>IFERROR((VLOOKUP(B102,SOE!F:G,2,FALSE)),"No probado")</f>
        <v>No probado</v>
      </c>
    </row>
    <row r="103" spans="7:7" x14ac:dyDescent="0.35">
      <c r="G103" s="2" t="str">
        <f>IFERROR((VLOOKUP(B103,SOE!F:G,2,FALSE)),"No probado")</f>
        <v>No probado</v>
      </c>
    </row>
    <row r="104" spans="7:7" x14ac:dyDescent="0.35">
      <c r="G104" s="2" t="str">
        <f>IFERROR((VLOOKUP(B104,SOE!F:G,2,FALSE)),"No probado")</f>
        <v>No probado</v>
      </c>
    </row>
    <row r="105" spans="7:7" x14ac:dyDescent="0.35">
      <c r="G105" s="2" t="str">
        <f>IFERROR((VLOOKUP(B105,SOE!F:G,2,FALSE)),"No probado")</f>
        <v>No probado</v>
      </c>
    </row>
    <row r="106" spans="7:7" x14ac:dyDescent="0.35">
      <c r="G106" s="2" t="str">
        <f>IFERROR((VLOOKUP(B106,SOE!F:G,2,FALSE)),"No probado")</f>
        <v>No probado</v>
      </c>
    </row>
    <row r="107" spans="7:7" x14ac:dyDescent="0.35">
      <c r="G107" s="2" t="str">
        <f>IFERROR((VLOOKUP(B107,SOE!F:G,2,FALSE)),"No probado")</f>
        <v>No probado</v>
      </c>
    </row>
    <row r="108" spans="7:7" x14ac:dyDescent="0.35">
      <c r="G108" s="2" t="str">
        <f>IFERROR((VLOOKUP(B108,SOE!F:G,2,FALSE)),"No probado")</f>
        <v>No probado</v>
      </c>
    </row>
    <row r="109" spans="7:7" x14ac:dyDescent="0.35">
      <c r="G109" s="2" t="str">
        <f>IFERROR((VLOOKUP(B109,SOE!F:G,2,FALSE)),"No probado")</f>
        <v>No probado</v>
      </c>
    </row>
    <row r="110" spans="7:7" x14ac:dyDescent="0.35">
      <c r="G110" s="2" t="str">
        <f>IFERROR((VLOOKUP(B110,SOE!F:G,2,FALSE)),"No probado")</f>
        <v>No probado</v>
      </c>
    </row>
    <row r="111" spans="7:7" x14ac:dyDescent="0.35">
      <c r="G111" s="2" t="str">
        <f>IFERROR((VLOOKUP(B111,SOE!F:G,2,FALSE)),"No probado")</f>
        <v>No probado</v>
      </c>
    </row>
    <row r="112" spans="7:7" x14ac:dyDescent="0.35">
      <c r="G112" s="2" t="str">
        <f>IFERROR((VLOOKUP(B112,SOE!F:G,2,FALSE)),"No probado")</f>
        <v>No probado</v>
      </c>
    </row>
    <row r="113" spans="7:7" x14ac:dyDescent="0.35">
      <c r="G113" s="2" t="str">
        <f>IFERROR((VLOOKUP(B113,SOE!F:G,2,FALSE)),"No probado")</f>
        <v>No probado</v>
      </c>
    </row>
    <row r="114" spans="7:7" x14ac:dyDescent="0.35">
      <c r="G114" s="2" t="str">
        <f>IFERROR((VLOOKUP(B114,SOE!F:G,2,FALSE)),"No probado")</f>
        <v>No probado</v>
      </c>
    </row>
    <row r="115" spans="7:7" x14ac:dyDescent="0.35">
      <c r="G115" s="2" t="str">
        <f>IFERROR((VLOOKUP(B115,SOE!F:G,2,FALSE)),"No probado")</f>
        <v>No probado</v>
      </c>
    </row>
    <row r="116" spans="7:7" x14ac:dyDescent="0.35">
      <c r="G116" s="2" t="str">
        <f>IFERROR((VLOOKUP(B116,SOE!F:G,2,FALSE)),"No probado")</f>
        <v>No probado</v>
      </c>
    </row>
    <row r="117" spans="7:7" x14ac:dyDescent="0.35">
      <c r="G117" s="2" t="str">
        <f>IFERROR((VLOOKUP(B117,SOE!F:G,2,FALSE)),"No probado")</f>
        <v>No probado</v>
      </c>
    </row>
    <row r="118" spans="7:7" x14ac:dyDescent="0.35">
      <c r="G118" s="2" t="str">
        <f>IFERROR((VLOOKUP(B118,SOE!F:G,2,FALSE)),"No probado")</f>
        <v>No probado</v>
      </c>
    </row>
    <row r="119" spans="7:7" x14ac:dyDescent="0.35">
      <c r="G119" s="2" t="str">
        <f>IFERROR((VLOOKUP(B119,SOE!F:G,2,FALSE)),"No probado")</f>
        <v>No probado</v>
      </c>
    </row>
    <row r="120" spans="7:7" x14ac:dyDescent="0.35">
      <c r="G120" s="2" t="str">
        <f>IFERROR((VLOOKUP(B120,SOE!F:G,2,FALSE)),"No probado")</f>
        <v>No probado</v>
      </c>
    </row>
    <row r="121" spans="7:7" x14ac:dyDescent="0.35">
      <c r="G121" s="2" t="str">
        <f>IFERROR((VLOOKUP(B121,SOE!F:G,2,FALSE)),"No probado")</f>
        <v>No probado</v>
      </c>
    </row>
    <row r="122" spans="7:7" x14ac:dyDescent="0.35">
      <c r="G122" s="2" t="str">
        <f>IFERROR((VLOOKUP(B122,SOE!F:G,2,FALSE)),"No probado")</f>
        <v>No probado</v>
      </c>
    </row>
    <row r="123" spans="7:7" x14ac:dyDescent="0.35">
      <c r="G123" s="2" t="str">
        <f>IFERROR((VLOOKUP(B123,SOE!F:G,2,FALSE)),"No probado")</f>
        <v>No probado</v>
      </c>
    </row>
    <row r="124" spans="7:7" x14ac:dyDescent="0.35">
      <c r="G124" s="2" t="str">
        <f>IFERROR((VLOOKUP(B124,SOE!F:G,2,FALSE)),"No probado")</f>
        <v>No probado</v>
      </c>
    </row>
    <row r="125" spans="7:7" x14ac:dyDescent="0.35">
      <c r="G125" s="2" t="str">
        <f>IFERROR((VLOOKUP(B125,SOE!F:G,2,FALSE)),"No probado")</f>
        <v>No probado</v>
      </c>
    </row>
    <row r="126" spans="7:7" x14ac:dyDescent="0.35">
      <c r="G126" s="2" t="str">
        <f>IFERROR((VLOOKUP(B126,SOE!F:G,2,FALSE)),"No probado")</f>
        <v>No probado</v>
      </c>
    </row>
    <row r="127" spans="7:7" x14ac:dyDescent="0.35">
      <c r="G127" s="2" t="str">
        <f>IFERROR((VLOOKUP(B127,SOE!F:G,2,FALSE)),"No probado")</f>
        <v>No probado</v>
      </c>
    </row>
    <row r="128" spans="7:7" x14ac:dyDescent="0.35">
      <c r="G128" s="2" t="str">
        <f>IFERROR((VLOOKUP(B128,SOE!F:G,2,FALSE)),"No probado")</f>
        <v>No probado</v>
      </c>
    </row>
    <row r="129" spans="7:7" x14ac:dyDescent="0.35">
      <c r="G129" s="2" t="str">
        <f>IFERROR((VLOOKUP(B129,SOE!F:G,2,FALSE)),"No probado")</f>
        <v>No probado</v>
      </c>
    </row>
    <row r="130" spans="7:7" x14ac:dyDescent="0.35">
      <c r="G130" s="2" t="str">
        <f>IFERROR((VLOOKUP(B130,SOE!F:G,2,FALSE)),"No probado")</f>
        <v>No probado</v>
      </c>
    </row>
    <row r="131" spans="7:7" x14ac:dyDescent="0.35">
      <c r="G131" s="2" t="str">
        <f>IFERROR((VLOOKUP(B131,SOE!F:G,2,FALSE)),"No probado")</f>
        <v>No probado</v>
      </c>
    </row>
    <row r="132" spans="7:7" x14ac:dyDescent="0.35">
      <c r="G132" s="2" t="str">
        <f>IFERROR((VLOOKUP(B132,SOE!F:G,2,FALSE)),"No probado")</f>
        <v>No probado</v>
      </c>
    </row>
    <row r="133" spans="7:7" x14ac:dyDescent="0.35">
      <c r="G133" s="2" t="str">
        <f>IFERROR((VLOOKUP(B133,SOE!F:G,2,FALSE)),"No probado")</f>
        <v>No probado</v>
      </c>
    </row>
    <row r="134" spans="7:7" x14ac:dyDescent="0.35">
      <c r="G134" s="2" t="str">
        <f>IFERROR((VLOOKUP(B134,SOE!F:G,2,FALSE)),"No probado")</f>
        <v>No probado</v>
      </c>
    </row>
    <row r="135" spans="7:7" x14ac:dyDescent="0.35">
      <c r="G135" s="2" t="str">
        <f>IFERROR((VLOOKUP(B135,SOE!F:G,2,FALSE)),"No probado")</f>
        <v>No probado</v>
      </c>
    </row>
    <row r="136" spans="7:7" x14ac:dyDescent="0.35">
      <c r="G136" s="2" t="str">
        <f>IFERROR((VLOOKUP(B136,SOE!F:G,2,FALSE)),"No probado")</f>
        <v>No probado</v>
      </c>
    </row>
    <row r="137" spans="7:7" x14ac:dyDescent="0.35">
      <c r="G137" s="2" t="str">
        <f>IFERROR((VLOOKUP(B137,SOE!F:G,2,FALSE)),"No probado")</f>
        <v>No probado</v>
      </c>
    </row>
    <row r="138" spans="7:7" x14ac:dyDescent="0.35">
      <c r="G138" s="2" t="str">
        <f>IFERROR((VLOOKUP(B138,SOE!F:G,2,FALSE)),"No probado")</f>
        <v>No probado</v>
      </c>
    </row>
    <row r="139" spans="7:7" x14ac:dyDescent="0.35">
      <c r="G139" s="2" t="str">
        <f>IFERROR((VLOOKUP(B139,SOE!F:G,2,FALSE)),"No probado")</f>
        <v>No probado</v>
      </c>
    </row>
    <row r="140" spans="7:7" x14ac:dyDescent="0.35">
      <c r="G140" s="2" t="str">
        <f>IFERROR((VLOOKUP(B140,SOE!F:G,2,FALSE)),"No probado")</f>
        <v>No probado</v>
      </c>
    </row>
    <row r="141" spans="7:7" x14ac:dyDescent="0.35">
      <c r="G141" s="2" t="str">
        <f>IFERROR((VLOOKUP(B141,SOE!F:G,2,FALSE)),"No probado")</f>
        <v>No probado</v>
      </c>
    </row>
    <row r="142" spans="7:7" x14ac:dyDescent="0.35">
      <c r="G142" s="2" t="str">
        <f>IFERROR((VLOOKUP(B142,SOE!F:G,2,FALSE)),"No probado")</f>
        <v>No probado</v>
      </c>
    </row>
    <row r="143" spans="7:7" x14ac:dyDescent="0.35">
      <c r="G143" s="2" t="str">
        <f>IFERROR((VLOOKUP(B143,SOE!F:G,2,FALSE)),"No probado")</f>
        <v>No probado</v>
      </c>
    </row>
    <row r="144" spans="7:7" x14ac:dyDescent="0.35">
      <c r="G144" s="2" t="str">
        <f>IFERROR((VLOOKUP(B144,SOE!F:G,2,FALSE)),"No probado")</f>
        <v>No probado</v>
      </c>
    </row>
    <row r="145" spans="7:7" x14ac:dyDescent="0.35">
      <c r="G145" s="2" t="str">
        <f>IFERROR((VLOOKUP(B145,SOE!F:G,2,FALSE)),"No probado")</f>
        <v>No probado</v>
      </c>
    </row>
    <row r="146" spans="7:7" x14ac:dyDescent="0.35">
      <c r="G146" s="2" t="str">
        <f>IFERROR((VLOOKUP(B146,SOE!F:G,2,FALSE)),"No probado")</f>
        <v>No probado</v>
      </c>
    </row>
    <row r="147" spans="7:7" x14ac:dyDescent="0.35">
      <c r="G147" s="2" t="str">
        <f>IFERROR((VLOOKUP(B147,SOE!F:G,2,FALSE)),"No probado")</f>
        <v>No probado</v>
      </c>
    </row>
    <row r="148" spans="7:7" x14ac:dyDescent="0.35">
      <c r="G148" s="2" t="str">
        <f>IFERROR((VLOOKUP(B148,SOE!F:G,2,FALSE)),"No probado")</f>
        <v>No probado</v>
      </c>
    </row>
    <row r="149" spans="7:7" x14ac:dyDescent="0.35">
      <c r="G149" s="2" t="str">
        <f>IFERROR((VLOOKUP(B149,SOE!F:G,2,FALSE)),"No probado")</f>
        <v>No probado</v>
      </c>
    </row>
    <row r="150" spans="7:7" x14ac:dyDescent="0.35">
      <c r="G150" s="2" t="str">
        <f>IFERROR((VLOOKUP(B150,SOE!F:G,2,FALSE)),"No probado")</f>
        <v>No probado</v>
      </c>
    </row>
    <row r="151" spans="7:7" x14ac:dyDescent="0.35">
      <c r="G151" s="2" t="str">
        <f>IFERROR((VLOOKUP(B151,SOE!F:G,2,FALSE)),"No probado")</f>
        <v>No probado</v>
      </c>
    </row>
    <row r="152" spans="7:7" x14ac:dyDescent="0.35">
      <c r="G152" s="2" t="str">
        <f>IFERROR((VLOOKUP(B152,SOE!F:G,2,FALSE)),"No probado")</f>
        <v>No probado</v>
      </c>
    </row>
    <row r="153" spans="7:7" x14ac:dyDescent="0.35">
      <c r="G153" s="2" t="str">
        <f>IFERROR((VLOOKUP(B153,SOE!F:G,2,FALSE)),"No probado")</f>
        <v>No probado</v>
      </c>
    </row>
    <row r="154" spans="7:7" x14ac:dyDescent="0.35">
      <c r="G154" s="2" t="str">
        <f>IFERROR((VLOOKUP(B154,SOE!F:G,2,FALSE)),"No probado")</f>
        <v>No probado</v>
      </c>
    </row>
    <row r="155" spans="7:7" x14ac:dyDescent="0.35">
      <c r="G155" s="2" t="str">
        <f>IFERROR((VLOOKUP(B155,SOE!F:G,2,FALSE)),"No probado")</f>
        <v>No probado</v>
      </c>
    </row>
    <row r="156" spans="7:7" x14ac:dyDescent="0.35">
      <c r="G156" s="2" t="str">
        <f>IFERROR((VLOOKUP(B156,SOE!F:G,2,FALSE)),"No probado")</f>
        <v>No probado</v>
      </c>
    </row>
    <row r="157" spans="7:7" x14ac:dyDescent="0.35">
      <c r="G157" s="2" t="str">
        <f>IFERROR((VLOOKUP(B157,SOE!F:G,2,FALSE)),"No probado")</f>
        <v>No probado</v>
      </c>
    </row>
    <row r="158" spans="7:7" x14ac:dyDescent="0.35">
      <c r="G158" s="2" t="str">
        <f>IFERROR((VLOOKUP(B158,SOE!F:G,2,FALSE)),"No probado")</f>
        <v>No probado</v>
      </c>
    </row>
    <row r="159" spans="7:7" x14ac:dyDescent="0.35">
      <c r="G159" s="2" t="str">
        <f>IFERROR((VLOOKUP(B159,SOE!F:G,2,FALSE)),"No probado")</f>
        <v>No probado</v>
      </c>
    </row>
    <row r="160" spans="7:7" x14ac:dyDescent="0.35">
      <c r="G160" s="2" t="str">
        <f>IFERROR((VLOOKUP(B160,SOE!F:G,2,FALSE)),"No probado")</f>
        <v>No probado</v>
      </c>
    </row>
    <row r="161" spans="7:7" x14ac:dyDescent="0.35">
      <c r="G161" s="2" t="str">
        <f>IFERROR((VLOOKUP(B161,SOE!F:G,2,FALSE)),"No probado")</f>
        <v>No probado</v>
      </c>
    </row>
    <row r="162" spans="7:7" x14ac:dyDescent="0.35">
      <c r="G162" s="2" t="str">
        <f>IFERROR((VLOOKUP(B162,SOE!F:G,2,FALSE)),"No probado")</f>
        <v>No probado</v>
      </c>
    </row>
    <row r="163" spans="7:7" x14ac:dyDescent="0.35">
      <c r="G163" s="2" t="str">
        <f>IFERROR((VLOOKUP(B163,SOE!F:G,2,FALSE)),"No probado")</f>
        <v>No probado</v>
      </c>
    </row>
    <row r="164" spans="7:7" x14ac:dyDescent="0.35">
      <c r="G164" s="2" t="str">
        <f>IFERROR((VLOOKUP(B164,SOE!F:G,2,FALSE)),"No probado")</f>
        <v>No probado</v>
      </c>
    </row>
    <row r="165" spans="7:7" x14ac:dyDescent="0.35">
      <c r="G165" s="2" t="str">
        <f>IFERROR((VLOOKUP(B165,SOE!F:G,2,FALSE)),"No probado")</f>
        <v>No probado</v>
      </c>
    </row>
    <row r="166" spans="7:7" x14ac:dyDescent="0.35">
      <c r="G166" s="2" t="str">
        <f>IFERROR((VLOOKUP(B166,SOE!F:G,2,FALSE)),"No probado")</f>
        <v>No probado</v>
      </c>
    </row>
    <row r="167" spans="7:7" x14ac:dyDescent="0.35">
      <c r="G167" s="2" t="str">
        <f>IFERROR((VLOOKUP(B167,SOE!F:G,2,FALSE)),"No probado")</f>
        <v>No probado</v>
      </c>
    </row>
    <row r="168" spans="7:7" x14ac:dyDescent="0.35">
      <c r="G168" s="2" t="str">
        <f>IFERROR((VLOOKUP(B168,SOE!F:G,2,FALSE)),"No probado")</f>
        <v>No probado</v>
      </c>
    </row>
    <row r="169" spans="7:7" x14ac:dyDescent="0.35">
      <c r="G169" s="2" t="str">
        <f>IFERROR((VLOOKUP(B169,SOE!F:G,2,FALSE)),"No probado")</f>
        <v>No probado</v>
      </c>
    </row>
    <row r="170" spans="7:7" x14ac:dyDescent="0.35">
      <c r="G170" s="2" t="str">
        <f>IFERROR((VLOOKUP(B170,SOE!F:G,2,FALSE)),"No probado")</f>
        <v>No probado</v>
      </c>
    </row>
    <row r="171" spans="7:7" x14ac:dyDescent="0.35">
      <c r="G171" s="2" t="str">
        <f>IFERROR((VLOOKUP(B171,SOE!F:G,2,FALSE)),"No probado")</f>
        <v>No probado</v>
      </c>
    </row>
    <row r="172" spans="7:7" x14ac:dyDescent="0.35">
      <c r="G172" s="2" t="str">
        <f>IFERROR((VLOOKUP(B172,SOE!F:G,2,FALSE)),"No probado")</f>
        <v>No probado</v>
      </c>
    </row>
    <row r="173" spans="7:7" x14ac:dyDescent="0.35">
      <c r="G173" s="2" t="str">
        <f>IFERROR((VLOOKUP(B173,SOE!F:G,2,FALSE)),"No probado")</f>
        <v>No probado</v>
      </c>
    </row>
    <row r="174" spans="7:7" x14ac:dyDescent="0.35">
      <c r="G174" s="2" t="str">
        <f>IFERROR((VLOOKUP(B174,SOE!F:G,2,FALSE)),"No probado")</f>
        <v>No probado</v>
      </c>
    </row>
    <row r="175" spans="7:7" x14ac:dyDescent="0.35">
      <c r="G175" s="2" t="str">
        <f>IFERROR((VLOOKUP(B175,SOE!F:G,2,FALSE)),"No probado")</f>
        <v>No probado</v>
      </c>
    </row>
    <row r="176" spans="7:7" x14ac:dyDescent="0.35">
      <c r="G176" s="2" t="str">
        <f>IFERROR((VLOOKUP(B176,SOE!F:G,2,FALSE)),"No probado")</f>
        <v>No probado</v>
      </c>
    </row>
    <row r="177" spans="7:7" x14ac:dyDescent="0.35">
      <c r="G177" s="2" t="str">
        <f>IFERROR((VLOOKUP(B177,SOE!F:G,2,FALSE)),"No probado")</f>
        <v>No probado</v>
      </c>
    </row>
    <row r="178" spans="7:7" x14ac:dyDescent="0.35">
      <c r="G178" s="2" t="str">
        <f>IFERROR((VLOOKUP(B178,SOE!F:G,2,FALSE)),"No probado")</f>
        <v>No probado</v>
      </c>
    </row>
    <row r="179" spans="7:7" x14ac:dyDescent="0.35">
      <c r="G179" s="2" t="str">
        <f>IFERROR((VLOOKUP(B179,SOE!F:G,2,FALSE)),"No probado")</f>
        <v>No probado</v>
      </c>
    </row>
    <row r="180" spans="7:7" x14ac:dyDescent="0.35">
      <c r="G180" s="2" t="str">
        <f>IFERROR((VLOOKUP(B180,SOE!F:G,2,FALSE)),"No probado")</f>
        <v>No probado</v>
      </c>
    </row>
    <row r="181" spans="7:7" x14ac:dyDescent="0.35">
      <c r="G181" s="2" t="str">
        <f>IFERROR((VLOOKUP(B181,SOE!F:G,2,FALSE)),"No probado")</f>
        <v>No probado</v>
      </c>
    </row>
    <row r="182" spans="7:7" x14ac:dyDescent="0.35">
      <c r="G182" s="2" t="str">
        <f>IFERROR((VLOOKUP(B182,SOE!F:G,2,FALSE)),"No probado")</f>
        <v>No probado</v>
      </c>
    </row>
    <row r="183" spans="7:7" x14ac:dyDescent="0.35">
      <c r="G183" s="2" t="str">
        <f>IFERROR((VLOOKUP(B183,SOE!F:G,2,FALSE)),"No probado")</f>
        <v>No probado</v>
      </c>
    </row>
    <row r="184" spans="7:7" x14ac:dyDescent="0.35">
      <c r="G184" s="2" t="str">
        <f>IFERROR((VLOOKUP(B184,SOE!F:G,2,FALSE)),"No probado")</f>
        <v>No probado</v>
      </c>
    </row>
    <row r="185" spans="7:7" x14ac:dyDescent="0.35">
      <c r="G185" s="2" t="str">
        <f>IFERROR((VLOOKUP(B185,SOE!F:G,2,FALSE)),"No probado")</f>
        <v>No probado</v>
      </c>
    </row>
    <row r="186" spans="7:7" x14ac:dyDescent="0.35">
      <c r="G186" s="2" t="str">
        <f>IFERROR((VLOOKUP(B186,SOE!F:G,2,FALSE)),"No probado")</f>
        <v>No probado</v>
      </c>
    </row>
    <row r="187" spans="7:7" x14ac:dyDescent="0.35">
      <c r="G187" s="2" t="str">
        <f>IFERROR((VLOOKUP(B187,SOE!F:G,2,FALSE)),"No probado")</f>
        <v>No probado</v>
      </c>
    </row>
    <row r="188" spans="7:7" x14ac:dyDescent="0.35">
      <c r="G188" s="2" t="str">
        <f>IFERROR((VLOOKUP(B188,SOE!F:G,2,FALSE)),"No probado")</f>
        <v>No probado</v>
      </c>
    </row>
    <row r="189" spans="7:7" x14ac:dyDescent="0.35">
      <c r="G189" s="2" t="str">
        <f>IFERROR((VLOOKUP(B189,SOE!F:G,2,FALSE)),"No probado")</f>
        <v>No probado</v>
      </c>
    </row>
    <row r="190" spans="7:7" x14ac:dyDescent="0.35">
      <c r="G190" s="2" t="str">
        <f>IFERROR((VLOOKUP(B190,SOE!F:G,2,FALSE)),"No probado")</f>
        <v>No probado</v>
      </c>
    </row>
    <row r="191" spans="7:7" x14ac:dyDescent="0.35">
      <c r="G191" s="2" t="str">
        <f>IFERROR((VLOOKUP(B191,SOE!F:G,2,FALSE)),"No probado")</f>
        <v>No probado</v>
      </c>
    </row>
    <row r="192" spans="7:7" x14ac:dyDescent="0.35">
      <c r="G192" s="2" t="str">
        <f>IFERROR((VLOOKUP(B192,SOE!F:G,2,FALSE)),"No probado")</f>
        <v>No probado</v>
      </c>
    </row>
    <row r="193" spans="7:7" x14ac:dyDescent="0.35">
      <c r="G193" s="2" t="str">
        <f>IFERROR((VLOOKUP(B193,SOE!F:G,2,FALSE)),"No probado")</f>
        <v>No probado</v>
      </c>
    </row>
    <row r="194" spans="7:7" x14ac:dyDescent="0.35">
      <c r="G194" s="2" t="str">
        <f>IFERROR((VLOOKUP(B194,SOE!F:G,2,FALSE)),"No probado")</f>
        <v>No probado</v>
      </c>
    </row>
    <row r="195" spans="7:7" x14ac:dyDescent="0.35">
      <c r="G195" s="2" t="str">
        <f>IFERROR((VLOOKUP(B195,SOE!F:G,2,FALSE)),"No probado")</f>
        <v>No probado</v>
      </c>
    </row>
    <row r="196" spans="7:7" x14ac:dyDescent="0.35">
      <c r="G196" s="2" t="str">
        <f>IFERROR((VLOOKUP(B196,SOE!F:G,2,FALSE)),"No probado")</f>
        <v>No probado</v>
      </c>
    </row>
    <row r="197" spans="7:7" x14ac:dyDescent="0.35">
      <c r="G197" s="2" t="str">
        <f>IFERROR((VLOOKUP(B197,SOE!F:G,2,FALSE)),"No probado")</f>
        <v>No probado</v>
      </c>
    </row>
    <row r="198" spans="7:7" x14ac:dyDescent="0.35">
      <c r="G198" s="2" t="str">
        <f>IFERROR((VLOOKUP(B198,SOE!F:G,2,FALSE)),"No probado")</f>
        <v>No probado</v>
      </c>
    </row>
    <row r="199" spans="7:7" x14ac:dyDescent="0.35">
      <c r="G199" s="2" t="str">
        <f>IFERROR((VLOOKUP(B199,SOE!F:G,2,FALSE)),"No probado")</f>
        <v>No probado</v>
      </c>
    </row>
    <row r="200" spans="7:7" x14ac:dyDescent="0.35">
      <c r="G200" s="2" t="str">
        <f>IFERROR((VLOOKUP(B200,SOE!F:G,2,FALSE)),"No probado")</f>
        <v>No probado</v>
      </c>
    </row>
    <row r="201" spans="7:7" x14ac:dyDescent="0.35">
      <c r="G201" s="2" t="str">
        <f>IFERROR((VLOOKUP(B201,SOE!F:G,2,FALSE)),"No probado")</f>
        <v>No probado</v>
      </c>
    </row>
    <row r="202" spans="7:7" x14ac:dyDescent="0.35">
      <c r="G202" s="2" t="str">
        <f>IFERROR((VLOOKUP(B202,SOE!F:G,2,FALSE)),"No probado")</f>
        <v>No probado</v>
      </c>
    </row>
    <row r="203" spans="7:7" x14ac:dyDescent="0.35">
      <c r="G203" s="2" t="str">
        <f>IFERROR((VLOOKUP(B203,SOE!F:G,2,FALSE)),"No probado")</f>
        <v>No probado</v>
      </c>
    </row>
    <row r="204" spans="7:7" x14ac:dyDescent="0.35">
      <c r="G204" s="2" t="str">
        <f>IFERROR((VLOOKUP(B204,SOE!F:G,2,FALSE)),"No probado")</f>
        <v>No probado</v>
      </c>
    </row>
    <row r="205" spans="7:7" x14ac:dyDescent="0.35">
      <c r="G205" s="2" t="str">
        <f>IFERROR((VLOOKUP(B205,SOE!F:G,2,FALSE)),"No probado")</f>
        <v>No probado</v>
      </c>
    </row>
    <row r="206" spans="7:7" x14ac:dyDescent="0.35">
      <c r="G206" s="2" t="str">
        <f>IFERROR((VLOOKUP(B206,SOE!F:G,2,FALSE)),"No probado")</f>
        <v>No probado</v>
      </c>
    </row>
    <row r="207" spans="7:7" x14ac:dyDescent="0.35">
      <c r="G207" s="2" t="str">
        <f>IFERROR((VLOOKUP(B207,SOE!F:G,2,FALSE)),"No probado")</f>
        <v>No probado</v>
      </c>
    </row>
    <row r="208" spans="7:7" x14ac:dyDescent="0.35">
      <c r="G208" s="2" t="str">
        <f>IFERROR((VLOOKUP(B208,SOE!F:G,2,FALSE)),"No probado")</f>
        <v>No probado</v>
      </c>
    </row>
    <row r="209" spans="7:7" x14ac:dyDescent="0.35">
      <c r="G209" s="2" t="str">
        <f>IFERROR((VLOOKUP(B209,SOE!F:G,2,FALSE)),"No probado")</f>
        <v>No probado</v>
      </c>
    </row>
    <row r="210" spans="7:7" x14ac:dyDescent="0.35">
      <c r="G210" s="2" t="str">
        <f>IFERROR((VLOOKUP(B210,SOE!F:G,2,FALSE)),"No probado")</f>
        <v>No probado</v>
      </c>
    </row>
    <row r="211" spans="7:7" x14ac:dyDescent="0.35">
      <c r="G211" s="2" t="str">
        <f>IFERROR((VLOOKUP(B211,SOE!F:G,2,FALSE)),"No probado")</f>
        <v>No probado</v>
      </c>
    </row>
    <row r="212" spans="7:7" x14ac:dyDescent="0.35">
      <c r="G212" s="2" t="str">
        <f>IFERROR((VLOOKUP(B212,SOE!F:G,2,FALSE)),"No probado")</f>
        <v>No probado</v>
      </c>
    </row>
    <row r="213" spans="7:7" x14ac:dyDescent="0.35">
      <c r="G213" s="2" t="str">
        <f>IFERROR((VLOOKUP(B213,SOE!F:G,2,FALSE)),"No probado")</f>
        <v>No probado</v>
      </c>
    </row>
    <row r="214" spans="7:7" x14ac:dyDescent="0.35">
      <c r="G214" s="2" t="str">
        <f>IFERROR((VLOOKUP(B214,SOE!F:G,2,FALSE)),"No probado")</f>
        <v>No probado</v>
      </c>
    </row>
    <row r="215" spans="7:7" x14ac:dyDescent="0.35">
      <c r="G215" s="2" t="str">
        <f>IFERROR((VLOOKUP(B215,SOE!F:G,2,FALSE)),"No probado")</f>
        <v>No probado</v>
      </c>
    </row>
    <row r="216" spans="7:7" x14ac:dyDescent="0.35">
      <c r="G216" s="2" t="str">
        <f>IFERROR((VLOOKUP(B216,SOE!F:G,2,FALSE)),"No probado")</f>
        <v>No probado</v>
      </c>
    </row>
    <row r="217" spans="7:7" x14ac:dyDescent="0.35">
      <c r="G217" s="2" t="str">
        <f>IFERROR((VLOOKUP(B217,SOE!F:G,2,FALSE)),"No probado")</f>
        <v>No probado</v>
      </c>
    </row>
    <row r="218" spans="7:7" x14ac:dyDescent="0.35">
      <c r="G218" s="2" t="str">
        <f>IFERROR((VLOOKUP(B218,SOE!F:G,2,FALSE)),"No probado")</f>
        <v>No probado</v>
      </c>
    </row>
    <row r="219" spans="7:7" x14ac:dyDescent="0.35">
      <c r="G219" s="2" t="str">
        <f>IFERROR((VLOOKUP(B219,SOE!F:G,2,FALSE)),"No probado")</f>
        <v>No probado</v>
      </c>
    </row>
    <row r="220" spans="7:7" x14ac:dyDescent="0.35">
      <c r="G220" s="2" t="str">
        <f>IFERROR((VLOOKUP(B220,SOE!F:G,2,FALSE)),"No probado")</f>
        <v>No probado</v>
      </c>
    </row>
    <row r="221" spans="7:7" x14ac:dyDescent="0.35">
      <c r="G221" s="2" t="str">
        <f>IFERROR((VLOOKUP(B221,SOE!F:G,2,FALSE)),"No probado")</f>
        <v>No probado</v>
      </c>
    </row>
    <row r="222" spans="7:7" x14ac:dyDescent="0.35">
      <c r="G222" s="2" t="str">
        <f>IFERROR((VLOOKUP(B222,SOE!F:G,2,FALSE)),"No probado")</f>
        <v>No probado</v>
      </c>
    </row>
    <row r="223" spans="7:7" x14ac:dyDescent="0.35">
      <c r="G223" s="2" t="str">
        <f>IFERROR((VLOOKUP(B223,SOE!F:G,2,FALSE)),"No probado")</f>
        <v>No probado</v>
      </c>
    </row>
    <row r="224" spans="7:7" x14ac:dyDescent="0.35">
      <c r="G224" s="2" t="str">
        <f>IFERROR((VLOOKUP(B224,SOE!F:G,2,FALSE)),"No probado")</f>
        <v>No probado</v>
      </c>
    </row>
    <row r="225" spans="7:7" x14ac:dyDescent="0.35">
      <c r="G225" s="2" t="str">
        <f>IFERROR((VLOOKUP(B225,SOE!F:G,2,FALSE)),"No probado")</f>
        <v>No probado</v>
      </c>
    </row>
    <row r="226" spans="7:7" x14ac:dyDescent="0.35">
      <c r="G226" s="2" t="str">
        <f>IFERROR((VLOOKUP(B226,SOE!F:G,2,FALSE)),"No probado")</f>
        <v>No probado</v>
      </c>
    </row>
    <row r="227" spans="7:7" x14ac:dyDescent="0.35">
      <c r="G227" s="2" t="str">
        <f>IFERROR((VLOOKUP(B227,SOE!F:G,2,FALSE)),"No probado")</f>
        <v>No probado</v>
      </c>
    </row>
    <row r="228" spans="7:7" x14ac:dyDescent="0.35">
      <c r="G228" s="2" t="str">
        <f>IFERROR((VLOOKUP(B228,SOE!F:G,2,FALSE)),"No probado")</f>
        <v>No probado</v>
      </c>
    </row>
    <row r="229" spans="7:7" x14ac:dyDescent="0.35">
      <c r="G229" s="2" t="str">
        <f>IFERROR((VLOOKUP(B229,SOE!F:G,2,FALSE)),"No probado")</f>
        <v>No probado</v>
      </c>
    </row>
    <row r="230" spans="7:7" x14ac:dyDescent="0.35">
      <c r="G230" s="2" t="str">
        <f>IFERROR((VLOOKUP(B230,SOE!F:G,2,FALSE)),"No probado")</f>
        <v>No probado</v>
      </c>
    </row>
    <row r="231" spans="7:7" x14ac:dyDescent="0.35">
      <c r="G231" s="2" t="str">
        <f>IFERROR((VLOOKUP(B231,SOE!F:G,2,FALSE)),"No probado")</f>
        <v>No probado</v>
      </c>
    </row>
    <row r="232" spans="7:7" x14ac:dyDescent="0.35">
      <c r="G232" s="2" t="str">
        <f>IFERROR((VLOOKUP(B232,SOE!F:G,2,FALSE)),"No probado")</f>
        <v>No probado</v>
      </c>
    </row>
    <row r="233" spans="7:7" x14ac:dyDescent="0.35">
      <c r="G233" s="2" t="str">
        <f>IFERROR((VLOOKUP(B233,SOE!F:G,2,FALSE)),"No probado")</f>
        <v>No probado</v>
      </c>
    </row>
    <row r="234" spans="7:7" x14ac:dyDescent="0.35">
      <c r="G234" s="2" t="str">
        <f>IFERROR((VLOOKUP(B234,SOE!F:G,2,FALSE)),"No probado")</f>
        <v>No probado</v>
      </c>
    </row>
    <row r="235" spans="7:7" x14ac:dyDescent="0.35">
      <c r="G235" s="2" t="str">
        <f>IFERROR((VLOOKUP(B235,SOE!F:G,2,FALSE)),"No probado")</f>
        <v>No probado</v>
      </c>
    </row>
    <row r="236" spans="7:7" x14ac:dyDescent="0.35">
      <c r="G236" s="2" t="str">
        <f>IFERROR((VLOOKUP(B236,SOE!F:G,2,FALSE)),"No probado")</f>
        <v>No probado</v>
      </c>
    </row>
    <row r="237" spans="7:7" x14ac:dyDescent="0.35">
      <c r="G237" s="2" t="str">
        <f>IFERROR((VLOOKUP(B237,SOE!F:G,2,FALSE)),"No probado")</f>
        <v>No probado</v>
      </c>
    </row>
    <row r="238" spans="7:7" x14ac:dyDescent="0.35">
      <c r="G238" s="2" t="str">
        <f>IFERROR((VLOOKUP(B238,SOE!F:G,2,FALSE)),"No probado")</f>
        <v>No probado</v>
      </c>
    </row>
    <row r="239" spans="7:7" x14ac:dyDescent="0.35">
      <c r="G239" s="2" t="str">
        <f>IFERROR((VLOOKUP(B239,SOE!F:G,2,FALSE)),"No probado")</f>
        <v>No probado</v>
      </c>
    </row>
    <row r="240" spans="7:7" x14ac:dyDescent="0.35">
      <c r="G240" s="2" t="str">
        <f>IFERROR((VLOOKUP(B240,SOE!F:G,2,FALSE)),"No probado")</f>
        <v>No probado</v>
      </c>
    </row>
    <row r="241" spans="7:7" x14ac:dyDescent="0.35">
      <c r="G241" s="2" t="str">
        <f>IFERROR((VLOOKUP(B241,SOE!F:G,2,FALSE)),"No probado")</f>
        <v>No probado</v>
      </c>
    </row>
    <row r="242" spans="7:7" x14ac:dyDescent="0.35">
      <c r="G242" s="2" t="str">
        <f>IFERROR((VLOOKUP(B242,SOE!F:G,2,FALSE)),"No probado")</f>
        <v>No probado</v>
      </c>
    </row>
    <row r="243" spans="7:7" x14ac:dyDescent="0.35">
      <c r="G243" s="2" t="str">
        <f>IFERROR((VLOOKUP(B243,SOE!F:G,2,FALSE)),"No probado")</f>
        <v>No probado</v>
      </c>
    </row>
    <row r="244" spans="7:7" x14ac:dyDescent="0.35">
      <c r="G244" s="2" t="str">
        <f>IFERROR((VLOOKUP(B244,SOE!F:G,2,FALSE)),"No probado")</f>
        <v>No probado</v>
      </c>
    </row>
    <row r="245" spans="7:7" x14ac:dyDescent="0.35">
      <c r="G245" s="2" t="str">
        <f>IFERROR((VLOOKUP(B245,SOE!F:G,2,FALSE)),"No probado")</f>
        <v>No probado</v>
      </c>
    </row>
    <row r="246" spans="7:7" x14ac:dyDescent="0.35">
      <c r="G246" s="2" t="str">
        <f>IFERROR((VLOOKUP(B246,SOE!F:G,2,FALSE)),"No probado")</f>
        <v>No probado</v>
      </c>
    </row>
    <row r="247" spans="7:7" x14ac:dyDescent="0.35">
      <c r="G247" s="2" t="str">
        <f>IFERROR((VLOOKUP(B247,SOE!F:G,2,FALSE)),"No probado")</f>
        <v>No probado</v>
      </c>
    </row>
    <row r="248" spans="7:7" x14ac:dyDescent="0.35">
      <c r="G248" s="2" t="str">
        <f>IFERROR((VLOOKUP(B248,SOE!F:G,2,FALSE)),"No probado")</f>
        <v>No probado</v>
      </c>
    </row>
    <row r="249" spans="7:7" x14ac:dyDescent="0.35">
      <c r="G249" s="2" t="str">
        <f>IFERROR((VLOOKUP(B249,SOE!F:G,2,FALSE)),"No probado")</f>
        <v>No probado</v>
      </c>
    </row>
    <row r="250" spans="7:7" x14ac:dyDescent="0.35">
      <c r="G250" s="2" t="str">
        <f>IFERROR((VLOOKUP(B250,SOE!F:G,2,FALSE)),"No probado")</f>
        <v>No probado</v>
      </c>
    </row>
    <row r="251" spans="7:7" x14ac:dyDescent="0.35">
      <c r="G251" s="2" t="str">
        <f>IFERROR((VLOOKUP(B251,SOE!F:G,2,FALSE)),"No probado")</f>
        <v>No probado</v>
      </c>
    </row>
    <row r="252" spans="7:7" x14ac:dyDescent="0.35">
      <c r="G252" s="2" t="str">
        <f>IFERROR((VLOOKUP(B252,SOE!F:G,2,FALSE)),"No probado")</f>
        <v>No probado</v>
      </c>
    </row>
    <row r="253" spans="7:7" x14ac:dyDescent="0.35">
      <c r="G253" s="2" t="str">
        <f>IFERROR((VLOOKUP(B253,SOE!F:G,2,FALSE)),"No probado")</f>
        <v>No probado</v>
      </c>
    </row>
    <row r="254" spans="7:7" x14ac:dyDescent="0.35">
      <c r="G254" s="2" t="str">
        <f>IFERROR((VLOOKUP(B254,SOE!F:G,2,FALSE)),"No probado")</f>
        <v>No probado</v>
      </c>
    </row>
    <row r="255" spans="7:7" x14ac:dyDescent="0.35">
      <c r="G255" s="2" t="str">
        <f>IFERROR((VLOOKUP(B255,SOE!F:G,2,FALSE)),"No probado")</f>
        <v>No probado</v>
      </c>
    </row>
    <row r="256" spans="7:7" x14ac:dyDescent="0.35">
      <c r="G256" s="2" t="str">
        <f>IFERROR((VLOOKUP(B256,SOE!F:G,2,FALSE)),"No probado")</f>
        <v>No probado</v>
      </c>
    </row>
    <row r="257" spans="7:7" x14ac:dyDescent="0.35">
      <c r="G257" s="2" t="str">
        <f>IFERROR((VLOOKUP(B257,SOE!F:G,2,FALSE)),"No probado")</f>
        <v>No probado</v>
      </c>
    </row>
    <row r="258" spans="7:7" x14ac:dyDescent="0.35">
      <c r="G258" s="2" t="str">
        <f>IFERROR((VLOOKUP(B258,SOE!F:G,2,FALSE)),"No probado")</f>
        <v>No probado</v>
      </c>
    </row>
    <row r="259" spans="7:7" x14ac:dyDescent="0.35">
      <c r="G259" s="2" t="str">
        <f>IFERROR((VLOOKUP(B259,SOE!F:G,2,FALSE)),"No probado")</f>
        <v>No probado</v>
      </c>
    </row>
    <row r="260" spans="7:7" x14ac:dyDescent="0.35">
      <c r="G260" s="2" t="str">
        <f>IFERROR((VLOOKUP(B260,SOE!F:G,2,FALSE)),"No probado")</f>
        <v>No probado</v>
      </c>
    </row>
    <row r="261" spans="7:7" x14ac:dyDescent="0.35">
      <c r="G261" s="2" t="str">
        <f>IFERROR((VLOOKUP(B261,SOE!F:G,2,FALSE)),"No probado")</f>
        <v>No probado</v>
      </c>
    </row>
    <row r="262" spans="7:7" x14ac:dyDescent="0.35">
      <c r="G262" s="2" t="str">
        <f>IFERROR((VLOOKUP(B262,SOE!F:G,2,FALSE)),"No probado")</f>
        <v>No probado</v>
      </c>
    </row>
    <row r="263" spans="7:7" x14ac:dyDescent="0.35">
      <c r="G263" s="2" t="str">
        <f>IFERROR((VLOOKUP(B263,SOE!F:G,2,FALSE)),"No probado")</f>
        <v>No probado</v>
      </c>
    </row>
    <row r="264" spans="7:7" x14ac:dyDescent="0.35">
      <c r="G264" s="2" t="str">
        <f>IFERROR((VLOOKUP(B264,SOE!F:G,2,FALSE)),"No probado")</f>
        <v>No probado</v>
      </c>
    </row>
    <row r="265" spans="7:7" x14ac:dyDescent="0.35">
      <c r="G265" s="2" t="str">
        <f>IFERROR((VLOOKUP(B265,SOE!F:G,2,FALSE)),"No probado")</f>
        <v>No probado</v>
      </c>
    </row>
    <row r="266" spans="7:7" x14ac:dyDescent="0.35">
      <c r="G266" s="2" t="str">
        <f>IFERROR((VLOOKUP(B266,SOE!F:G,2,FALSE)),"No probado")</f>
        <v>No probado</v>
      </c>
    </row>
    <row r="267" spans="7:7" x14ac:dyDescent="0.35">
      <c r="G267" s="2" t="str">
        <f>IFERROR((VLOOKUP(B267,SOE!F:G,2,FALSE)),"No probado")</f>
        <v>No probado</v>
      </c>
    </row>
    <row r="268" spans="7:7" x14ac:dyDescent="0.35">
      <c r="G268" s="2" t="str">
        <f>IFERROR((VLOOKUP(B268,SOE!F:G,2,FALSE)),"No probado")</f>
        <v>No probado</v>
      </c>
    </row>
    <row r="269" spans="7:7" x14ac:dyDescent="0.35">
      <c r="G269" s="2" t="str">
        <f>IFERROR((VLOOKUP(B269,SOE!F:G,2,FALSE)),"No probado")</f>
        <v>No probado</v>
      </c>
    </row>
    <row r="270" spans="7:7" x14ac:dyDescent="0.35">
      <c r="G270" s="2" t="str">
        <f>IFERROR((VLOOKUP(B270,SOE!F:G,2,FALSE)),"No probado")</f>
        <v>No probado</v>
      </c>
    </row>
    <row r="271" spans="7:7" x14ac:dyDescent="0.35">
      <c r="G271" s="2" t="str">
        <f>IFERROR((VLOOKUP(B271,SOE!F:G,2,FALSE)),"No probado")</f>
        <v>No probado</v>
      </c>
    </row>
    <row r="272" spans="7:7" x14ac:dyDescent="0.35">
      <c r="G272" s="2" t="str">
        <f>IFERROR((VLOOKUP(B272,SOE!F:G,2,FALSE)),"No probado")</f>
        <v>No probado</v>
      </c>
    </row>
    <row r="273" spans="7:7" x14ac:dyDescent="0.35">
      <c r="G273" s="2" t="str">
        <f>IFERROR((VLOOKUP(B273,SOE!F:G,2,FALSE)),"No probado")</f>
        <v>No probado</v>
      </c>
    </row>
    <row r="274" spans="7:7" x14ac:dyDescent="0.35">
      <c r="G274" s="2" t="str">
        <f>IFERROR((VLOOKUP(B274,SOE!F:G,2,FALSE)),"No probado")</f>
        <v>No probado</v>
      </c>
    </row>
    <row r="275" spans="7:7" x14ac:dyDescent="0.35">
      <c r="G275" s="2" t="str">
        <f>IFERROR((VLOOKUP(B275,SOE!F:G,2,FALSE)),"No probado")</f>
        <v>No probado</v>
      </c>
    </row>
    <row r="276" spans="7:7" x14ac:dyDescent="0.35">
      <c r="G276" s="2" t="str">
        <f>IFERROR((VLOOKUP(B276,SOE!F:G,2,FALSE)),"No probado")</f>
        <v>No probado</v>
      </c>
    </row>
    <row r="277" spans="7:7" x14ac:dyDescent="0.35">
      <c r="G277" s="2" t="str">
        <f>IFERROR((VLOOKUP(B277,SOE!F:G,2,FALSE)),"No probado")</f>
        <v>No probado</v>
      </c>
    </row>
    <row r="278" spans="7:7" x14ac:dyDescent="0.35">
      <c r="G278" s="2" t="str">
        <f>IFERROR((VLOOKUP(B278,SOE!F:G,2,FALSE)),"No probado")</f>
        <v>No probado</v>
      </c>
    </row>
    <row r="279" spans="7:7" x14ac:dyDescent="0.35">
      <c r="G279" s="2" t="str">
        <f>IFERROR((VLOOKUP(B279,SOE!F:G,2,FALSE)),"No probado")</f>
        <v>No probado</v>
      </c>
    </row>
    <row r="280" spans="7:7" x14ac:dyDescent="0.35">
      <c r="G280" s="2" t="str">
        <f>IFERROR((VLOOKUP(B280,SOE!F:G,2,FALSE)),"No probado")</f>
        <v>No probado</v>
      </c>
    </row>
    <row r="281" spans="7:7" x14ac:dyDescent="0.35">
      <c r="G281" s="2" t="str">
        <f>IFERROR((VLOOKUP(B281,SOE!F:G,2,FALSE)),"No probado")</f>
        <v>No probado</v>
      </c>
    </row>
    <row r="282" spans="7:7" x14ac:dyDescent="0.35">
      <c r="G282" s="2" t="str">
        <f>IFERROR((VLOOKUP(B282,SOE!F:G,2,FALSE)),"No probado")</f>
        <v>No probado</v>
      </c>
    </row>
    <row r="283" spans="7:7" x14ac:dyDescent="0.35">
      <c r="G283" s="2" t="str">
        <f>IFERROR((VLOOKUP(B283,SOE!F:G,2,FALSE)),"No probado")</f>
        <v>No probado</v>
      </c>
    </row>
    <row r="284" spans="7:7" x14ac:dyDescent="0.35">
      <c r="G284" s="2" t="str">
        <f>IFERROR((VLOOKUP(B284,SOE!F:G,2,FALSE)),"No probado")</f>
        <v>No probado</v>
      </c>
    </row>
    <row r="285" spans="7:7" x14ac:dyDescent="0.35">
      <c r="G285" s="2" t="str">
        <f>IFERROR((VLOOKUP(B285,SOE!F:G,2,FALSE)),"No probado")</f>
        <v>No probado</v>
      </c>
    </row>
    <row r="286" spans="7:7" x14ac:dyDescent="0.35">
      <c r="G286" s="2" t="str">
        <f>IFERROR((VLOOKUP(B286,SOE!F:G,2,FALSE)),"No probado")</f>
        <v>No probado</v>
      </c>
    </row>
    <row r="287" spans="7:7" x14ac:dyDescent="0.35">
      <c r="G287" s="2" t="str">
        <f>IFERROR((VLOOKUP(B287,SOE!F:G,2,FALSE)),"No probado")</f>
        <v>No probado</v>
      </c>
    </row>
    <row r="288" spans="7:7" x14ac:dyDescent="0.35">
      <c r="G288" s="2" t="str">
        <f>IFERROR((VLOOKUP(B288,SOE!F:G,2,FALSE)),"No probado")</f>
        <v>No probado</v>
      </c>
    </row>
    <row r="289" spans="7:7" x14ac:dyDescent="0.35">
      <c r="G289" s="2" t="str">
        <f>IFERROR((VLOOKUP(B289,SOE!F:G,2,FALSE)),"No probado")</f>
        <v>No probado</v>
      </c>
    </row>
    <row r="290" spans="7:7" x14ac:dyDescent="0.35">
      <c r="G290" s="2" t="str">
        <f>IFERROR((VLOOKUP(B290,SOE!F:G,2,FALSE)),"No probado")</f>
        <v>No probado</v>
      </c>
    </row>
    <row r="291" spans="7:7" x14ac:dyDescent="0.35">
      <c r="G291" s="2" t="str">
        <f>IFERROR((VLOOKUP(B291,SOE!F:G,2,FALSE)),"No probado")</f>
        <v>No probado</v>
      </c>
    </row>
    <row r="292" spans="7:7" x14ac:dyDescent="0.35">
      <c r="G292" s="2" t="str">
        <f>IFERROR((VLOOKUP(B292,SOE!F:G,2,FALSE)),"No probado")</f>
        <v>No probado</v>
      </c>
    </row>
    <row r="293" spans="7:7" x14ac:dyDescent="0.35">
      <c r="G293" s="2" t="str">
        <f>IFERROR((VLOOKUP(B293,SOE!F:G,2,FALSE)),"No probado")</f>
        <v>No probado</v>
      </c>
    </row>
    <row r="294" spans="7:7" x14ac:dyDescent="0.35">
      <c r="G294" s="2" t="str">
        <f>IFERROR((VLOOKUP(B294,SOE!F:G,2,FALSE)),"No probado")</f>
        <v>No probado</v>
      </c>
    </row>
    <row r="295" spans="7:7" x14ac:dyDescent="0.35">
      <c r="G295" s="2" t="str">
        <f>IFERROR((VLOOKUP(B295,SOE!F:G,2,FALSE)),"No probado")</f>
        <v>No probado</v>
      </c>
    </row>
    <row r="296" spans="7:7" x14ac:dyDescent="0.35">
      <c r="G296" s="2" t="str">
        <f>IFERROR((VLOOKUP(B296,SOE!F:G,2,FALSE)),"No probado")</f>
        <v>No probado</v>
      </c>
    </row>
    <row r="297" spans="7:7" x14ac:dyDescent="0.35">
      <c r="G297" s="2" t="str">
        <f>IFERROR((VLOOKUP(B297,SOE!F:G,2,FALSE)),"No probado")</f>
        <v>No probado</v>
      </c>
    </row>
    <row r="298" spans="7:7" x14ac:dyDescent="0.35">
      <c r="G298" s="2" t="str">
        <f>IFERROR((VLOOKUP(B298,SOE!F:G,2,FALSE)),"No probado")</f>
        <v>No probado</v>
      </c>
    </row>
    <row r="299" spans="7:7" x14ac:dyDescent="0.35">
      <c r="G299" s="2" t="str">
        <f>IFERROR((VLOOKUP(B299,SOE!F:G,2,FALSE)),"No probado")</f>
        <v>No probado</v>
      </c>
    </row>
    <row r="300" spans="7:7" x14ac:dyDescent="0.35">
      <c r="G300" s="2" t="str">
        <f>IFERROR((VLOOKUP(B300,SOE!F:G,2,FALSE)),"No probado")</f>
        <v>No probado</v>
      </c>
    </row>
    <row r="301" spans="7:7" x14ac:dyDescent="0.35">
      <c r="G301" s="2" t="str">
        <f>IFERROR((VLOOKUP(B301,SOE!F:G,2,FALSE)),"No probado")</f>
        <v>No probado</v>
      </c>
    </row>
    <row r="302" spans="7:7" x14ac:dyDescent="0.35">
      <c r="G302" s="2" t="str">
        <f>IFERROR((VLOOKUP(B302,SOE!F:G,2,FALSE)),"No probado")</f>
        <v>No probado</v>
      </c>
    </row>
    <row r="303" spans="7:7" x14ac:dyDescent="0.35">
      <c r="G303" s="2" t="str">
        <f>IFERROR((VLOOKUP(B303,SOE!F:G,2,FALSE)),"No probado")</f>
        <v>No probado</v>
      </c>
    </row>
    <row r="304" spans="7:7" x14ac:dyDescent="0.35">
      <c r="G304" s="2" t="str">
        <f>IFERROR((VLOOKUP(B304,SOE!F:G,2,FALSE)),"No probado")</f>
        <v>No probado</v>
      </c>
    </row>
    <row r="305" spans="7:7" x14ac:dyDescent="0.35">
      <c r="G305" s="2" t="str">
        <f>IFERROR((VLOOKUP(B305,SOE!F:G,2,FALSE)),"No probado")</f>
        <v>No probado</v>
      </c>
    </row>
    <row r="306" spans="7:7" x14ac:dyDescent="0.35">
      <c r="G306" s="2" t="str">
        <f>IFERROR((VLOOKUP(B306,SOE!F:G,2,FALSE)),"No probado")</f>
        <v>No probado</v>
      </c>
    </row>
    <row r="307" spans="7:7" x14ac:dyDescent="0.35">
      <c r="G307" s="2" t="str">
        <f>IFERROR((VLOOKUP(B307,SOE!F:G,2,FALSE)),"No probado")</f>
        <v>No probado</v>
      </c>
    </row>
    <row r="308" spans="7:7" x14ac:dyDescent="0.35">
      <c r="G308" s="2" t="str">
        <f>IFERROR((VLOOKUP(B308,SOE!F:G,2,FALSE)),"No probado")</f>
        <v>No probado</v>
      </c>
    </row>
    <row r="309" spans="7:7" x14ac:dyDescent="0.35">
      <c r="G309" s="2" t="str">
        <f>IFERROR((VLOOKUP(B309,SOE!F:G,2,FALSE)),"No probado")</f>
        <v>No probado</v>
      </c>
    </row>
    <row r="310" spans="7:7" x14ac:dyDescent="0.35">
      <c r="G310" s="2" t="str">
        <f>IFERROR((VLOOKUP(B310,SOE!F:G,2,FALSE)),"No probado")</f>
        <v>No probado</v>
      </c>
    </row>
    <row r="311" spans="7:7" x14ac:dyDescent="0.35">
      <c r="G311" s="2" t="str">
        <f>IFERROR((VLOOKUP(B311,SOE!F:G,2,FALSE)),"No probado")</f>
        <v>No probado</v>
      </c>
    </row>
    <row r="312" spans="7:7" x14ac:dyDescent="0.35">
      <c r="G312" s="2" t="str">
        <f>IFERROR((VLOOKUP(B312,SOE!F:G,2,FALSE)),"No probado")</f>
        <v>No probado</v>
      </c>
    </row>
    <row r="313" spans="7:7" x14ac:dyDescent="0.35">
      <c r="G313" s="2" t="str">
        <f>IFERROR((VLOOKUP(B313,SOE!F:G,2,FALSE)),"No probado")</f>
        <v>No probado</v>
      </c>
    </row>
    <row r="314" spans="7:7" x14ac:dyDescent="0.35">
      <c r="G314" s="2" t="str">
        <f>IFERROR((VLOOKUP(B314,SOE!F:G,2,FALSE)),"No probado")</f>
        <v>No probado</v>
      </c>
    </row>
    <row r="315" spans="7:7" x14ac:dyDescent="0.35">
      <c r="G315" s="2" t="str">
        <f>IFERROR((VLOOKUP(B315,SOE!F:G,2,FALSE)),"No probado")</f>
        <v>No probado</v>
      </c>
    </row>
    <row r="316" spans="7:7" x14ac:dyDescent="0.35">
      <c r="G316" s="2" t="str">
        <f>IFERROR((VLOOKUP(B316,SOE!F:G,2,FALSE)),"No probado")</f>
        <v>No probado</v>
      </c>
    </row>
    <row r="317" spans="7:7" x14ac:dyDescent="0.35">
      <c r="G317" s="2" t="str">
        <f>IFERROR((VLOOKUP(B317,SOE!F:G,2,FALSE)),"No probado")</f>
        <v>No probado</v>
      </c>
    </row>
    <row r="318" spans="7:7" x14ac:dyDescent="0.35">
      <c r="G318" s="2" t="str">
        <f>IFERROR((VLOOKUP(B318,SOE!F:G,2,FALSE)),"No probado")</f>
        <v>No probado</v>
      </c>
    </row>
    <row r="319" spans="7:7" x14ac:dyDescent="0.35">
      <c r="G319" s="2" t="str">
        <f>IFERROR((VLOOKUP(B319,SOE!F:G,2,FALSE)),"No probado")</f>
        <v>No probado</v>
      </c>
    </row>
    <row r="320" spans="7:7" x14ac:dyDescent="0.35">
      <c r="G320" s="2" t="str">
        <f>IFERROR((VLOOKUP(B320,SOE!F:G,2,FALSE)),"No probado")</f>
        <v>No probado</v>
      </c>
    </row>
    <row r="321" spans="7:7" x14ac:dyDescent="0.35">
      <c r="G321" s="2" t="str">
        <f>IFERROR((VLOOKUP(B321,SOE!F:G,2,FALSE)),"No probado")</f>
        <v>No probado</v>
      </c>
    </row>
    <row r="322" spans="7:7" x14ac:dyDescent="0.35">
      <c r="G322" s="2" t="str">
        <f>IFERROR((VLOOKUP(B322,SOE!F:G,2,FALSE)),"No probado")</f>
        <v>No probado</v>
      </c>
    </row>
    <row r="323" spans="7:7" x14ac:dyDescent="0.35">
      <c r="G323" s="2" t="str">
        <f>IFERROR((VLOOKUP(B323,SOE!F:G,2,FALSE)),"No probado")</f>
        <v>No probado</v>
      </c>
    </row>
    <row r="324" spans="7:7" x14ac:dyDescent="0.35">
      <c r="G324" s="2" t="str">
        <f>IFERROR((VLOOKUP(B324,SOE!F:G,2,FALSE)),"No probado")</f>
        <v>No probado</v>
      </c>
    </row>
    <row r="325" spans="7:7" x14ac:dyDescent="0.35">
      <c r="G325" s="2" t="str">
        <f>IFERROR((VLOOKUP(B325,SOE!F:G,2,FALSE)),"No probado")</f>
        <v>No probado</v>
      </c>
    </row>
    <row r="326" spans="7:7" x14ac:dyDescent="0.35">
      <c r="G326" s="2" t="str">
        <f>IFERROR((VLOOKUP(B326,SOE!F:G,2,FALSE)),"No probado")</f>
        <v>No probado</v>
      </c>
    </row>
    <row r="327" spans="7:7" x14ac:dyDescent="0.35">
      <c r="G327" s="2" t="str">
        <f>IFERROR((VLOOKUP(B327,SOE!F:G,2,FALSE)),"No probado")</f>
        <v>No probado</v>
      </c>
    </row>
    <row r="328" spans="7:7" x14ac:dyDescent="0.35">
      <c r="G328" s="2" t="str">
        <f>IFERROR((VLOOKUP(B328,SOE!F:G,2,FALSE)),"No probado")</f>
        <v>No probado</v>
      </c>
    </row>
    <row r="329" spans="7:7" x14ac:dyDescent="0.35">
      <c r="G329" s="2" t="str">
        <f>IFERROR((VLOOKUP(B329,SOE!F:G,2,FALSE)),"No probado")</f>
        <v>No probado</v>
      </c>
    </row>
    <row r="330" spans="7:7" x14ac:dyDescent="0.35">
      <c r="G330" s="2" t="str">
        <f>IFERROR((VLOOKUP(B330,SOE!F:G,2,FALSE)),"No probado")</f>
        <v>No probado</v>
      </c>
    </row>
    <row r="331" spans="7:7" x14ac:dyDescent="0.35">
      <c r="G331" s="2" t="str">
        <f>IFERROR((VLOOKUP(B331,SOE!F:G,2,FALSE)),"No probado")</f>
        <v>No probado</v>
      </c>
    </row>
    <row r="332" spans="7:7" x14ac:dyDescent="0.35">
      <c r="G332" s="2" t="str">
        <f>IFERROR((VLOOKUP(B332,SOE!F:G,2,FALSE)),"No probado")</f>
        <v>No probado</v>
      </c>
    </row>
    <row r="333" spans="7:7" x14ac:dyDescent="0.35">
      <c r="G333" s="2" t="str">
        <f>IFERROR((VLOOKUP(B333,SOE!F:G,2,FALSE)),"No probado")</f>
        <v>No probado</v>
      </c>
    </row>
    <row r="334" spans="7:7" x14ac:dyDescent="0.35">
      <c r="G334" s="2" t="str">
        <f>IFERROR((VLOOKUP(B334,SOE!F:G,2,FALSE)),"No probado")</f>
        <v>No probado</v>
      </c>
    </row>
    <row r="335" spans="7:7" x14ac:dyDescent="0.35">
      <c r="G335" s="2" t="str">
        <f>IFERROR((VLOOKUP(B335,SOE!F:G,2,FALSE)),"No probado")</f>
        <v>No probado</v>
      </c>
    </row>
    <row r="336" spans="7:7" x14ac:dyDescent="0.35">
      <c r="G336" s="2" t="str">
        <f>IFERROR((VLOOKUP(B336,SOE!F:G,2,FALSE)),"No probado")</f>
        <v>No probado</v>
      </c>
    </row>
    <row r="337" spans="7:7" x14ac:dyDescent="0.35">
      <c r="G337" s="2" t="str">
        <f>IFERROR((VLOOKUP(B337,SOE!F:G,2,FALSE)),"No probado")</f>
        <v>No probado</v>
      </c>
    </row>
    <row r="338" spans="7:7" x14ac:dyDescent="0.35">
      <c r="G338" s="2" t="str">
        <f>IFERROR((VLOOKUP(B338,SOE!F:G,2,FALSE)),"No probado")</f>
        <v>No probado</v>
      </c>
    </row>
    <row r="339" spans="7:7" x14ac:dyDescent="0.35">
      <c r="G339" s="2" t="str">
        <f>IFERROR((VLOOKUP(B339,SOE!F:G,2,FALSE)),"No probado")</f>
        <v>No probado</v>
      </c>
    </row>
    <row r="340" spans="7:7" x14ac:dyDescent="0.35">
      <c r="G340" s="2" t="str">
        <f>IFERROR((VLOOKUP(B340,SOE!F:G,2,FALSE)),"No probado")</f>
        <v>No probado</v>
      </c>
    </row>
    <row r="341" spans="7:7" x14ac:dyDescent="0.35">
      <c r="G341" s="2" t="str">
        <f>IFERROR((VLOOKUP(B341,SOE!F:G,2,FALSE)),"No probado")</f>
        <v>No probado</v>
      </c>
    </row>
    <row r="342" spans="7:7" x14ac:dyDescent="0.35">
      <c r="G342" s="2" t="str">
        <f>IFERROR((VLOOKUP(B342,SOE!F:G,2,FALSE)),"No probado")</f>
        <v>No probado</v>
      </c>
    </row>
    <row r="343" spans="7:7" x14ac:dyDescent="0.35">
      <c r="G343" s="2" t="str">
        <f>IFERROR((VLOOKUP(B343,SOE!F:G,2,FALSE)),"No probado")</f>
        <v>No probado</v>
      </c>
    </row>
    <row r="344" spans="7:7" x14ac:dyDescent="0.35">
      <c r="G344" s="2" t="str">
        <f>IFERROR((VLOOKUP(B344,SOE!F:G,2,FALSE)),"No probado")</f>
        <v>No probado</v>
      </c>
    </row>
    <row r="345" spans="7:7" x14ac:dyDescent="0.35">
      <c r="G345" s="2" t="str">
        <f>IFERROR((VLOOKUP(B345,SOE!F:G,2,FALSE)),"No probado")</f>
        <v>No probado</v>
      </c>
    </row>
    <row r="346" spans="7:7" x14ac:dyDescent="0.35">
      <c r="G346" s="2" t="str">
        <f>IFERROR((VLOOKUP(B346,SOE!F:G,2,FALSE)),"No probado")</f>
        <v>No probado</v>
      </c>
    </row>
    <row r="347" spans="7:7" x14ac:dyDescent="0.35">
      <c r="G347" s="2" t="str">
        <f>IFERROR((VLOOKUP(B347,SOE!F:G,2,FALSE)),"No probado")</f>
        <v>No probado</v>
      </c>
    </row>
    <row r="348" spans="7:7" x14ac:dyDescent="0.35">
      <c r="G348" s="2" t="str">
        <f>IFERROR((VLOOKUP(B348,SOE!F:G,2,FALSE)),"No probado")</f>
        <v>No probado</v>
      </c>
    </row>
    <row r="349" spans="7:7" x14ac:dyDescent="0.35">
      <c r="G349" s="2" t="str">
        <f>IFERROR((VLOOKUP(B349,SOE!F:G,2,FALSE)),"No probado")</f>
        <v>No probado</v>
      </c>
    </row>
    <row r="350" spans="7:7" x14ac:dyDescent="0.35">
      <c r="G350" s="2" t="str">
        <f>IFERROR((VLOOKUP(B350,SOE!F:G,2,FALSE)),"No probado")</f>
        <v>No probado</v>
      </c>
    </row>
    <row r="351" spans="7:7" x14ac:dyDescent="0.35">
      <c r="G351" s="2" t="str">
        <f>IFERROR((VLOOKUP(B351,SOE!F:G,2,FALSE)),"No probado")</f>
        <v>No probado</v>
      </c>
    </row>
    <row r="352" spans="7:7" x14ac:dyDescent="0.35">
      <c r="G352" s="2" t="str">
        <f>IFERROR((VLOOKUP(B352,SOE!F:G,2,FALSE)),"No probado")</f>
        <v>No probado</v>
      </c>
    </row>
    <row r="353" spans="7:7" x14ac:dyDescent="0.35">
      <c r="G353" s="2" t="str">
        <f>IFERROR((VLOOKUP(B353,SOE!F:G,2,FALSE)),"No probado")</f>
        <v>No probado</v>
      </c>
    </row>
    <row r="354" spans="7:7" x14ac:dyDescent="0.35">
      <c r="G354" s="2" t="str">
        <f>IFERROR((VLOOKUP(B354,SOE!F:G,2,FALSE)),"No probado")</f>
        <v>No probado</v>
      </c>
    </row>
    <row r="355" spans="7:7" x14ac:dyDescent="0.35">
      <c r="G355" s="2" t="str">
        <f>IFERROR((VLOOKUP(B355,SOE!F:G,2,FALSE)),"No probado")</f>
        <v>No probado</v>
      </c>
    </row>
    <row r="356" spans="7:7" x14ac:dyDescent="0.35">
      <c r="G356" s="2" t="str">
        <f>IFERROR((VLOOKUP(B356,SOE!F:G,2,FALSE)),"No probado")</f>
        <v>No probado</v>
      </c>
    </row>
    <row r="357" spans="7:7" x14ac:dyDescent="0.35">
      <c r="G357" s="2" t="str">
        <f>IFERROR((VLOOKUP(B357,SOE!F:G,2,FALSE)),"No probado")</f>
        <v>No probado</v>
      </c>
    </row>
    <row r="358" spans="7:7" x14ac:dyDescent="0.35">
      <c r="G358" s="2" t="str">
        <f>IFERROR((VLOOKUP(B358,SOE!F:G,2,FALSE)),"No probado")</f>
        <v>No probado</v>
      </c>
    </row>
    <row r="359" spans="7:7" x14ac:dyDescent="0.35">
      <c r="G359" s="2" t="str">
        <f>IFERROR((VLOOKUP(B359,SOE!F:G,2,FALSE)),"No probado")</f>
        <v>No probado</v>
      </c>
    </row>
    <row r="360" spans="7:7" x14ac:dyDescent="0.35">
      <c r="G360" s="2" t="str">
        <f>IFERROR((VLOOKUP(B360,SOE!F:G,2,FALSE)),"No probado")</f>
        <v>No probado</v>
      </c>
    </row>
    <row r="361" spans="7:7" x14ac:dyDescent="0.35">
      <c r="G361" s="2" t="str">
        <f>IFERROR((VLOOKUP(B361,SOE!F:G,2,FALSE)),"No probado")</f>
        <v>No probado</v>
      </c>
    </row>
    <row r="362" spans="7:7" x14ac:dyDescent="0.35">
      <c r="G362" s="2" t="str">
        <f>IFERROR((VLOOKUP(B362,SOE!F:G,2,FALSE)),"No probado")</f>
        <v>No probado</v>
      </c>
    </row>
    <row r="363" spans="7:7" x14ac:dyDescent="0.35">
      <c r="G363" s="2" t="str">
        <f>IFERROR((VLOOKUP(B363,SOE!F:G,2,FALSE)),"No probado")</f>
        <v>No probado</v>
      </c>
    </row>
    <row r="364" spans="7:7" x14ac:dyDescent="0.35">
      <c r="G364" s="2" t="str">
        <f>IFERROR((VLOOKUP(B364,SOE!F:G,2,FALSE)),"No probado")</f>
        <v>No probado</v>
      </c>
    </row>
    <row r="365" spans="7:7" x14ac:dyDescent="0.35">
      <c r="G365" s="2" t="str">
        <f>IFERROR((VLOOKUP(B365,SOE!F:G,2,FALSE)),"No probado")</f>
        <v>No probado</v>
      </c>
    </row>
    <row r="366" spans="7:7" x14ac:dyDescent="0.35">
      <c r="G366" s="2" t="str">
        <f>IFERROR((VLOOKUP(B366,SOE!F:G,2,FALSE)),"No probado")</f>
        <v>No probado</v>
      </c>
    </row>
    <row r="367" spans="7:7" x14ac:dyDescent="0.35">
      <c r="G367" s="2" t="str">
        <f>IFERROR((VLOOKUP(B367,SOE!F:G,2,FALSE)),"No probado")</f>
        <v>No probado</v>
      </c>
    </row>
    <row r="368" spans="7:7" x14ac:dyDescent="0.35">
      <c r="G368" s="2" t="str">
        <f>IFERROR((VLOOKUP(B368,SOE!F:G,2,FALSE)),"No probado")</f>
        <v>No probado</v>
      </c>
    </row>
    <row r="369" spans="7:7" x14ac:dyDescent="0.35">
      <c r="G369" s="2" t="str">
        <f>IFERROR((VLOOKUP(B369,SOE!F:G,2,FALSE)),"No probado")</f>
        <v>No probado</v>
      </c>
    </row>
    <row r="370" spans="7:7" x14ac:dyDescent="0.35">
      <c r="G370" s="2" t="str">
        <f>IFERROR((VLOOKUP(B370,SOE!F:G,2,FALSE)),"No probado")</f>
        <v>No probado</v>
      </c>
    </row>
    <row r="371" spans="7:7" x14ac:dyDescent="0.35">
      <c r="G371" s="2" t="str">
        <f>IFERROR((VLOOKUP(B371,SOE!F:G,2,FALSE)),"No probado")</f>
        <v>No probado</v>
      </c>
    </row>
    <row r="372" spans="7:7" x14ac:dyDescent="0.35">
      <c r="G372" s="2" t="str">
        <f>IFERROR((VLOOKUP(B372,SOE!F:G,2,FALSE)),"No probado")</f>
        <v>No probado</v>
      </c>
    </row>
    <row r="373" spans="7:7" x14ac:dyDescent="0.35">
      <c r="G373" s="2" t="str">
        <f>IFERROR((VLOOKUP(B373,SOE!F:G,2,FALSE)),"No probado")</f>
        <v>No probado</v>
      </c>
    </row>
    <row r="374" spans="7:7" x14ac:dyDescent="0.35">
      <c r="G374" s="2" t="str">
        <f>IFERROR((VLOOKUP(B374,SOE!F:G,2,FALSE)),"No probado")</f>
        <v>No probado</v>
      </c>
    </row>
    <row r="375" spans="7:7" x14ac:dyDescent="0.35">
      <c r="G375" s="2" t="str">
        <f>IFERROR((VLOOKUP(B375,SOE!F:G,2,FALSE)),"No probado")</f>
        <v>No probado</v>
      </c>
    </row>
    <row r="376" spans="7:7" x14ac:dyDescent="0.35">
      <c r="G376" s="2" t="str">
        <f>IFERROR((VLOOKUP(B376,SOE!F:G,2,FALSE)),"No probado")</f>
        <v>No probado</v>
      </c>
    </row>
    <row r="377" spans="7:7" x14ac:dyDescent="0.35">
      <c r="G377" s="2" t="str">
        <f>IFERROR((VLOOKUP(B377,SOE!F:G,2,FALSE)),"No probado")</f>
        <v>No probado</v>
      </c>
    </row>
    <row r="378" spans="7:7" x14ac:dyDescent="0.35">
      <c r="G378" s="2" t="str">
        <f>IFERROR((VLOOKUP(B378,SOE!F:G,2,FALSE)),"No probado")</f>
        <v>No probado</v>
      </c>
    </row>
    <row r="379" spans="7:7" x14ac:dyDescent="0.35">
      <c r="G379" s="2" t="str">
        <f>IFERROR((VLOOKUP(B379,SOE!F:G,2,FALSE)),"No probado")</f>
        <v>No probado</v>
      </c>
    </row>
    <row r="380" spans="7:7" x14ac:dyDescent="0.35">
      <c r="G380" s="2" t="str">
        <f>IFERROR((VLOOKUP(B380,SOE!F:G,2,FALSE)),"No probado")</f>
        <v>No probado</v>
      </c>
    </row>
    <row r="381" spans="7:7" x14ac:dyDescent="0.35">
      <c r="G381" s="2" t="str">
        <f>IFERROR((VLOOKUP(B381,SOE!F:G,2,FALSE)),"No probado")</f>
        <v>No probado</v>
      </c>
    </row>
    <row r="382" spans="7:7" x14ac:dyDescent="0.35">
      <c r="G382" s="2" t="str">
        <f>IFERROR((VLOOKUP(B382,SOE!F:G,2,FALSE)),"No probado")</f>
        <v>No probado</v>
      </c>
    </row>
    <row r="383" spans="7:7" x14ac:dyDescent="0.35">
      <c r="G383" s="2" t="str">
        <f>IFERROR((VLOOKUP(B383,SOE!F:G,2,FALSE)),"No probado")</f>
        <v>No probado</v>
      </c>
    </row>
    <row r="384" spans="7:7" x14ac:dyDescent="0.35">
      <c r="G384" s="2" t="str">
        <f>IFERROR((VLOOKUP(B384,SOE!F:G,2,FALSE)),"No probado")</f>
        <v>No probado</v>
      </c>
    </row>
    <row r="385" spans="7:7" x14ac:dyDescent="0.35">
      <c r="G385" s="2" t="str">
        <f>IFERROR((VLOOKUP(B385,SOE!F:G,2,FALSE)),"No probado")</f>
        <v>No probado</v>
      </c>
    </row>
    <row r="386" spans="7:7" x14ac:dyDescent="0.35">
      <c r="G386" s="2" t="str">
        <f>IFERROR((VLOOKUP(B386,SOE!F:G,2,FALSE)),"No probado")</f>
        <v>No probado</v>
      </c>
    </row>
    <row r="387" spans="7:7" x14ac:dyDescent="0.35">
      <c r="G387" s="2" t="str">
        <f>IFERROR((VLOOKUP(B387,SOE!F:G,2,FALSE)),"No probado")</f>
        <v>No probado</v>
      </c>
    </row>
    <row r="388" spans="7:7" x14ac:dyDescent="0.35">
      <c r="G388" s="2" t="str">
        <f>IFERROR((VLOOKUP(B388,SOE!F:G,2,FALSE)),"No probado")</f>
        <v>No probado</v>
      </c>
    </row>
    <row r="389" spans="7:7" x14ac:dyDescent="0.35">
      <c r="G389" s="2" t="str">
        <f>IFERROR((VLOOKUP(B389,SOE!F:G,2,FALSE)),"No probado")</f>
        <v>No probado</v>
      </c>
    </row>
    <row r="390" spans="7:7" x14ac:dyDescent="0.35">
      <c r="G390" s="2" t="str">
        <f>IFERROR((VLOOKUP(B390,SOE!F:G,2,FALSE)),"No probado")</f>
        <v>No probado</v>
      </c>
    </row>
    <row r="391" spans="7:7" x14ac:dyDescent="0.35">
      <c r="G391" s="2" t="str">
        <f>IFERROR((VLOOKUP(B391,SOE!F:G,2,FALSE)),"No probado")</f>
        <v>No probado</v>
      </c>
    </row>
    <row r="392" spans="7:7" x14ac:dyDescent="0.35">
      <c r="G392" s="2" t="str">
        <f>IFERROR((VLOOKUP(B392,SOE!F:G,2,FALSE)),"No probado")</f>
        <v>No probado</v>
      </c>
    </row>
    <row r="393" spans="7:7" x14ac:dyDescent="0.35">
      <c r="G393" s="2" t="str">
        <f>IFERROR((VLOOKUP(B393,SOE!F:G,2,FALSE)),"No probado")</f>
        <v>No probado</v>
      </c>
    </row>
    <row r="394" spans="7:7" x14ac:dyDescent="0.35">
      <c r="G394" s="2" t="str">
        <f>IFERROR((VLOOKUP(B394,SOE!F:G,2,FALSE)),"No probado")</f>
        <v>No probado</v>
      </c>
    </row>
    <row r="395" spans="7:7" x14ac:dyDescent="0.35">
      <c r="G395" s="2" t="str">
        <f>IFERROR((VLOOKUP(B395,SOE!F:G,2,FALSE)),"No probado")</f>
        <v>No probado</v>
      </c>
    </row>
    <row r="396" spans="7:7" x14ac:dyDescent="0.35">
      <c r="G396" s="2" t="str">
        <f>IFERROR((VLOOKUP(B396,SOE!F:G,2,FALSE)),"No probado")</f>
        <v>No probado</v>
      </c>
    </row>
    <row r="397" spans="7:7" x14ac:dyDescent="0.35">
      <c r="G397" s="2" t="str">
        <f>IFERROR((VLOOKUP(B397,SOE!F:G,2,FALSE)),"No probado")</f>
        <v>No probado</v>
      </c>
    </row>
    <row r="398" spans="7:7" x14ac:dyDescent="0.35">
      <c r="G398" s="2" t="str">
        <f>IFERROR((VLOOKUP(B398,SOE!F:G,2,FALSE)),"No probado")</f>
        <v>No probado</v>
      </c>
    </row>
    <row r="399" spans="7:7" x14ac:dyDescent="0.35">
      <c r="G399" s="2" t="str">
        <f>IFERROR((VLOOKUP(B399,SOE!F:G,2,FALSE)),"No probado")</f>
        <v>No probado</v>
      </c>
    </row>
    <row r="400" spans="7:7" x14ac:dyDescent="0.35">
      <c r="G400" s="2" t="str">
        <f>IFERROR((VLOOKUP(B400,SOE!F:G,2,FALSE)),"No probado")</f>
        <v>No probado</v>
      </c>
    </row>
    <row r="401" spans="7:7" x14ac:dyDescent="0.35">
      <c r="G401" s="2" t="str">
        <f>IFERROR((VLOOKUP(B401,SOE!F:G,2,FALSE)),"No probado")</f>
        <v>No probado</v>
      </c>
    </row>
    <row r="402" spans="7:7" x14ac:dyDescent="0.35">
      <c r="G402" s="2" t="str">
        <f>IFERROR((VLOOKUP(B402,SOE!F:G,2,FALSE)),"No probado")</f>
        <v>No probado</v>
      </c>
    </row>
    <row r="403" spans="7:7" x14ac:dyDescent="0.35">
      <c r="G403" s="2" t="str">
        <f>IFERROR((VLOOKUP(B403,SOE!F:G,2,FALSE)),"No probado")</f>
        <v>No probado</v>
      </c>
    </row>
    <row r="404" spans="7:7" x14ac:dyDescent="0.35">
      <c r="G404" s="2" t="str">
        <f>IFERROR((VLOOKUP(B404,SOE!F:G,2,FALSE)),"No probado")</f>
        <v>No probado</v>
      </c>
    </row>
    <row r="405" spans="7:7" x14ac:dyDescent="0.35">
      <c r="G405" s="2" t="str">
        <f>IFERROR((VLOOKUP(B405,SOE!F:G,2,FALSE)),"No probado")</f>
        <v>No probado</v>
      </c>
    </row>
    <row r="406" spans="7:7" x14ac:dyDescent="0.35">
      <c r="G406" s="2" t="str">
        <f>IFERROR((VLOOKUP(B406,SOE!F:G,2,FALSE)),"No probado")</f>
        <v>No probado</v>
      </c>
    </row>
    <row r="407" spans="7:7" x14ac:dyDescent="0.35">
      <c r="G407" s="2" t="str">
        <f>IFERROR((VLOOKUP(B407,SOE!F:G,2,FALSE)),"No probado")</f>
        <v>No probado</v>
      </c>
    </row>
    <row r="408" spans="7:7" x14ac:dyDescent="0.35">
      <c r="G408" s="2" t="str">
        <f>IFERROR((VLOOKUP(B408,SOE!F:G,2,FALSE)),"No probado")</f>
        <v>No probado</v>
      </c>
    </row>
    <row r="409" spans="7:7" x14ac:dyDescent="0.35">
      <c r="G409" s="2" t="str">
        <f>IFERROR((VLOOKUP(B409,SOE!F:G,2,FALSE)),"No probado")</f>
        <v>No probado</v>
      </c>
    </row>
    <row r="410" spans="7:7" x14ac:dyDescent="0.35">
      <c r="G410" s="2" t="str">
        <f>IFERROR((VLOOKUP(B410,SOE!F:G,2,FALSE)),"No probado")</f>
        <v>No probado</v>
      </c>
    </row>
    <row r="411" spans="7:7" x14ac:dyDescent="0.35">
      <c r="G411" s="2" t="str">
        <f>IFERROR((VLOOKUP(B411,SOE!F:G,2,FALSE)),"No probado")</f>
        <v>No probado</v>
      </c>
    </row>
    <row r="412" spans="7:7" x14ac:dyDescent="0.35">
      <c r="G412" s="2" t="str">
        <f>IFERROR((VLOOKUP(B412,SOE!F:G,2,FALSE)),"No probado")</f>
        <v>No probado</v>
      </c>
    </row>
    <row r="413" spans="7:7" x14ac:dyDescent="0.35">
      <c r="G413" s="2" t="str">
        <f>IFERROR((VLOOKUP(B413,SOE!F:G,2,FALSE)),"No probado")</f>
        <v>No probado</v>
      </c>
    </row>
    <row r="414" spans="7:7" x14ac:dyDescent="0.35">
      <c r="G414" s="2" t="str">
        <f>IFERROR((VLOOKUP(B414,SOE!F:G,2,FALSE)),"No probado")</f>
        <v>No probado</v>
      </c>
    </row>
    <row r="415" spans="7:7" x14ac:dyDescent="0.35">
      <c r="G415" s="2" t="str">
        <f>IFERROR((VLOOKUP(B415,SOE!F:G,2,FALSE)),"No probado")</f>
        <v>No probado</v>
      </c>
    </row>
    <row r="416" spans="7:7" x14ac:dyDescent="0.35">
      <c r="G416" s="2" t="str">
        <f>IFERROR((VLOOKUP(B416,SOE!F:G,2,FALSE)),"No probado")</f>
        <v>No probado</v>
      </c>
    </row>
    <row r="417" spans="7:7" x14ac:dyDescent="0.35">
      <c r="G417" s="2" t="str">
        <f>IFERROR((VLOOKUP(B417,SOE!F:G,2,FALSE)),"No probado")</f>
        <v>No probado</v>
      </c>
    </row>
    <row r="418" spans="7:7" x14ac:dyDescent="0.35">
      <c r="G418" s="2" t="str">
        <f>IFERROR((VLOOKUP(B418,SOE!F:G,2,FALSE)),"No probado")</f>
        <v>No probado</v>
      </c>
    </row>
    <row r="419" spans="7:7" x14ac:dyDescent="0.35">
      <c r="G419" s="2" t="str">
        <f>IFERROR((VLOOKUP(B419,SOE!F:G,2,FALSE)),"No probado")</f>
        <v>No probado</v>
      </c>
    </row>
    <row r="420" spans="7:7" x14ac:dyDescent="0.35">
      <c r="G420" s="2" t="str">
        <f>IFERROR((VLOOKUP(B420,SOE!F:G,2,FALSE)),"No probado")</f>
        <v>No probado</v>
      </c>
    </row>
    <row r="421" spans="7:7" x14ac:dyDescent="0.35">
      <c r="G421" s="2" t="str">
        <f>IFERROR((VLOOKUP(B421,SOE!F:G,2,FALSE)),"No probado")</f>
        <v>No probado</v>
      </c>
    </row>
    <row r="422" spans="7:7" x14ac:dyDescent="0.35">
      <c r="G422" s="2" t="str">
        <f>IFERROR((VLOOKUP(B422,SOE!F:G,2,FALSE)),"No probado")</f>
        <v>No probado</v>
      </c>
    </row>
    <row r="423" spans="7:7" x14ac:dyDescent="0.35">
      <c r="G423" s="2" t="str">
        <f>IFERROR((VLOOKUP(B423,SOE!F:G,2,FALSE)),"No probado")</f>
        <v>No probado</v>
      </c>
    </row>
    <row r="424" spans="7:7" x14ac:dyDescent="0.35">
      <c r="G424" s="2" t="str">
        <f>IFERROR((VLOOKUP(B424,SOE!F:G,2,FALSE)),"No probado")</f>
        <v>No probado</v>
      </c>
    </row>
    <row r="425" spans="7:7" x14ac:dyDescent="0.35">
      <c r="G425" s="2" t="str">
        <f>IFERROR((VLOOKUP(B425,SOE!F:G,2,FALSE)),"No probado")</f>
        <v>No probado</v>
      </c>
    </row>
    <row r="426" spans="7:7" x14ac:dyDescent="0.35">
      <c r="G426" s="2" t="str">
        <f>IFERROR((VLOOKUP(B426,SOE!F:G,2,FALSE)),"No probado")</f>
        <v>No probado</v>
      </c>
    </row>
    <row r="427" spans="7:7" x14ac:dyDescent="0.35">
      <c r="G427" s="2" t="str">
        <f>IFERROR((VLOOKUP(B427,SOE!F:G,2,FALSE)),"No probado")</f>
        <v>No probado</v>
      </c>
    </row>
    <row r="428" spans="7:7" x14ac:dyDescent="0.35">
      <c r="G428" s="2" t="str">
        <f>IFERROR((VLOOKUP(B428,SOE!F:G,2,FALSE)),"No probado")</f>
        <v>No probado</v>
      </c>
    </row>
    <row r="429" spans="7:7" x14ac:dyDescent="0.35">
      <c r="G429" s="2" t="str">
        <f>IFERROR((VLOOKUP(B429,SOE!F:G,2,FALSE)),"No probado")</f>
        <v>No probado</v>
      </c>
    </row>
    <row r="430" spans="7:7" x14ac:dyDescent="0.35">
      <c r="G430" s="2" t="str">
        <f>IFERROR((VLOOKUP(B430,SOE!F:G,2,FALSE)),"No probado")</f>
        <v>No probado</v>
      </c>
    </row>
    <row r="431" spans="7:7" x14ac:dyDescent="0.35">
      <c r="G431" s="2" t="str">
        <f>IFERROR((VLOOKUP(B431,SOE!F:G,2,FALSE)),"No probado")</f>
        <v>No probado</v>
      </c>
    </row>
    <row r="432" spans="7:7" x14ac:dyDescent="0.35">
      <c r="G432" s="2" t="str">
        <f>IFERROR((VLOOKUP(B432,SOE!F:G,2,FALSE)),"No probado")</f>
        <v>No probado</v>
      </c>
    </row>
    <row r="433" spans="7:7" x14ac:dyDescent="0.35">
      <c r="G433" s="2" t="str">
        <f>IFERROR((VLOOKUP(B433,SOE!F:G,2,FALSE)),"No probado")</f>
        <v>No probado</v>
      </c>
    </row>
    <row r="434" spans="7:7" x14ac:dyDescent="0.35">
      <c r="G434" s="2" t="str">
        <f>IFERROR((VLOOKUP(B434,SOE!F:G,2,FALSE)),"No probado")</f>
        <v>No probado</v>
      </c>
    </row>
    <row r="435" spans="7:7" x14ac:dyDescent="0.35">
      <c r="G435" s="2" t="str">
        <f>IFERROR((VLOOKUP(B435,SOE!F:G,2,FALSE)),"No probado")</f>
        <v>No probado</v>
      </c>
    </row>
    <row r="436" spans="7:7" x14ac:dyDescent="0.35">
      <c r="G436" s="2" t="str">
        <f>IFERROR((VLOOKUP(B436,SOE!F:G,2,FALSE)),"No probado")</f>
        <v>No probado</v>
      </c>
    </row>
    <row r="437" spans="7:7" x14ac:dyDescent="0.35">
      <c r="G437" s="2" t="str">
        <f>IFERROR((VLOOKUP(B437,SOE!F:G,2,FALSE)),"No probado")</f>
        <v>No probado</v>
      </c>
    </row>
    <row r="438" spans="7:7" x14ac:dyDescent="0.35">
      <c r="G438" s="2" t="str">
        <f>IFERROR((VLOOKUP(B438,SOE!F:G,2,FALSE)),"No probado")</f>
        <v>No probado</v>
      </c>
    </row>
    <row r="439" spans="7:7" x14ac:dyDescent="0.35">
      <c r="G439" s="2" t="str">
        <f>IFERROR((VLOOKUP(B439,SOE!F:G,2,FALSE)),"No probado")</f>
        <v>No probado</v>
      </c>
    </row>
    <row r="440" spans="7:7" x14ac:dyDescent="0.35">
      <c r="G440" s="2" t="str">
        <f>IFERROR((VLOOKUP(B440,SOE!F:G,2,FALSE)),"No probado")</f>
        <v>No probado</v>
      </c>
    </row>
    <row r="441" spans="7:7" x14ac:dyDescent="0.35">
      <c r="G441" s="2" t="str">
        <f>IFERROR((VLOOKUP(B441,SOE!F:G,2,FALSE)),"No probado")</f>
        <v>No probado</v>
      </c>
    </row>
    <row r="442" spans="7:7" x14ac:dyDescent="0.35">
      <c r="G442" s="2" t="str">
        <f>IFERROR((VLOOKUP(B442,SOE!F:G,2,FALSE)),"No probado")</f>
        <v>No probado</v>
      </c>
    </row>
    <row r="443" spans="7:7" x14ac:dyDescent="0.35">
      <c r="G443" s="2" t="str">
        <f>IFERROR((VLOOKUP(B443,SOE!F:G,2,FALSE)),"No probado")</f>
        <v>No probado</v>
      </c>
    </row>
    <row r="444" spans="7:7" x14ac:dyDescent="0.35">
      <c r="G444" s="2" t="str">
        <f>IFERROR((VLOOKUP(B444,SOE!F:G,2,FALSE)),"No probado")</f>
        <v>No probado</v>
      </c>
    </row>
    <row r="445" spans="7:7" x14ac:dyDescent="0.35">
      <c r="G445" s="2" t="str">
        <f>IFERROR((VLOOKUP(B445,SOE!F:G,2,FALSE)),"No probado")</f>
        <v>No probado</v>
      </c>
    </row>
    <row r="446" spans="7:7" x14ac:dyDescent="0.35">
      <c r="G446" s="2" t="str">
        <f>IFERROR((VLOOKUP(B446,SOE!F:G,2,FALSE)),"No probado")</f>
        <v>No probado</v>
      </c>
    </row>
    <row r="447" spans="7:7" x14ac:dyDescent="0.35">
      <c r="G447" s="2" t="str">
        <f>IFERROR((VLOOKUP(B447,SOE!F:G,2,FALSE)),"No probado")</f>
        <v>No probado</v>
      </c>
    </row>
    <row r="448" spans="7:7" x14ac:dyDescent="0.35">
      <c r="G448" s="2" t="str">
        <f>IFERROR((VLOOKUP(B448,SOE!F:G,2,FALSE)),"No probado")</f>
        <v>No probado</v>
      </c>
    </row>
    <row r="449" spans="7:7" x14ac:dyDescent="0.35">
      <c r="G449" s="2" t="str">
        <f>IFERROR((VLOOKUP(B449,SOE!F:G,2,FALSE)),"No probado")</f>
        <v>No probado</v>
      </c>
    </row>
    <row r="450" spans="7:7" x14ac:dyDescent="0.35">
      <c r="G450" s="2" t="str">
        <f>IFERROR((VLOOKUP(B450,SOE!F:G,2,FALSE)),"No probado")</f>
        <v>No probado</v>
      </c>
    </row>
    <row r="451" spans="7:7" x14ac:dyDescent="0.35">
      <c r="G451" s="2" t="str">
        <f>IFERROR((VLOOKUP(B451,SOE!F:G,2,FALSE)),"No probado")</f>
        <v>No probado</v>
      </c>
    </row>
    <row r="452" spans="7:7" x14ac:dyDescent="0.35">
      <c r="G452" s="2" t="str">
        <f>IFERROR((VLOOKUP(B452,SOE!F:G,2,FALSE)),"No probado")</f>
        <v>No probado</v>
      </c>
    </row>
    <row r="453" spans="7:7" x14ac:dyDescent="0.35">
      <c r="G453" s="2" t="str">
        <f>IFERROR((VLOOKUP(B453,SOE!F:G,2,FALSE)),"No probado")</f>
        <v>No probado</v>
      </c>
    </row>
    <row r="454" spans="7:7" x14ac:dyDescent="0.35">
      <c r="G454" s="2" t="str">
        <f>IFERROR((VLOOKUP(B454,SOE!F:G,2,FALSE)),"No probado")</f>
        <v>No probado</v>
      </c>
    </row>
    <row r="455" spans="7:7" x14ac:dyDescent="0.35">
      <c r="G455" s="2" t="str">
        <f>IFERROR((VLOOKUP(B455,SOE!F:G,2,FALSE)),"No probado")</f>
        <v>No probado</v>
      </c>
    </row>
    <row r="456" spans="7:7" x14ac:dyDescent="0.35">
      <c r="G456" s="2" t="str">
        <f>IFERROR((VLOOKUP(B456,SOE!F:G,2,FALSE)),"No probado")</f>
        <v>No probado</v>
      </c>
    </row>
    <row r="457" spans="7:7" x14ac:dyDescent="0.35">
      <c r="G457" s="2" t="str">
        <f>IFERROR((VLOOKUP(B457,SOE!F:G,2,FALSE)),"No probado")</f>
        <v>No probado</v>
      </c>
    </row>
    <row r="458" spans="7:7" x14ac:dyDescent="0.35">
      <c r="G458" s="2" t="str">
        <f>IFERROR((VLOOKUP(B458,SOE!F:G,2,FALSE)),"No probado")</f>
        <v>No probado</v>
      </c>
    </row>
    <row r="459" spans="7:7" x14ac:dyDescent="0.35">
      <c r="G459" s="2" t="str">
        <f>IFERROR((VLOOKUP(B459,SOE!F:G,2,FALSE)),"No probado")</f>
        <v>No probado</v>
      </c>
    </row>
    <row r="460" spans="7:7" x14ac:dyDescent="0.35">
      <c r="G460" s="2" t="str">
        <f>IFERROR((VLOOKUP(B460,SOE!F:G,2,FALSE)),"No probado")</f>
        <v>No probado</v>
      </c>
    </row>
    <row r="461" spans="7:7" x14ac:dyDescent="0.35">
      <c r="G461" s="2" t="str">
        <f>IFERROR((VLOOKUP(B461,SOE!F:G,2,FALSE)),"No probado")</f>
        <v>No probado</v>
      </c>
    </row>
    <row r="462" spans="7:7" x14ac:dyDescent="0.35">
      <c r="G462" s="2" t="str">
        <f>IFERROR((VLOOKUP(B462,SOE!F:G,2,FALSE)),"No probado")</f>
        <v>No probado</v>
      </c>
    </row>
    <row r="463" spans="7:7" x14ac:dyDescent="0.35">
      <c r="G463" s="2" t="str">
        <f>IFERROR((VLOOKUP(B463,SOE!F:G,2,FALSE)),"No probado")</f>
        <v>No probado</v>
      </c>
    </row>
    <row r="464" spans="7:7" x14ac:dyDescent="0.35">
      <c r="G464" s="2" t="str">
        <f>IFERROR((VLOOKUP(B464,SOE!F:G,2,FALSE)),"No probado")</f>
        <v>No probado</v>
      </c>
    </row>
    <row r="465" spans="7:7" x14ac:dyDescent="0.35">
      <c r="G465" s="2" t="str">
        <f>IFERROR((VLOOKUP(B465,SOE!F:G,2,FALSE)),"No probado")</f>
        <v>No probado</v>
      </c>
    </row>
    <row r="466" spans="7:7" x14ac:dyDescent="0.35">
      <c r="G466" s="2" t="str">
        <f>IFERROR((VLOOKUP(B466,SOE!F:G,2,FALSE)),"No probado")</f>
        <v>No probado</v>
      </c>
    </row>
    <row r="467" spans="7:7" x14ac:dyDescent="0.35">
      <c r="G467" s="2" t="str">
        <f>IFERROR((VLOOKUP(B467,SOE!F:G,2,FALSE)),"No probado")</f>
        <v>No probado</v>
      </c>
    </row>
    <row r="468" spans="7:7" x14ac:dyDescent="0.35">
      <c r="G468" s="2" t="str">
        <f>IFERROR((VLOOKUP(B468,SOE!F:G,2,FALSE)),"No probado")</f>
        <v>No probado</v>
      </c>
    </row>
    <row r="469" spans="7:7" x14ac:dyDescent="0.35">
      <c r="G469" s="2" t="str">
        <f>IFERROR((VLOOKUP(B469,SOE!F:G,2,FALSE)),"No probado")</f>
        <v>No probado</v>
      </c>
    </row>
    <row r="470" spans="7:7" x14ac:dyDescent="0.35">
      <c r="G470" s="2" t="str">
        <f>IFERROR((VLOOKUP(B470,SOE!F:G,2,FALSE)),"No probado")</f>
        <v>No probado</v>
      </c>
    </row>
    <row r="471" spans="7:7" x14ac:dyDescent="0.35">
      <c r="G471" s="2" t="str">
        <f>IFERROR((VLOOKUP(B471,SOE!F:G,2,FALSE)),"No probado")</f>
        <v>No probado</v>
      </c>
    </row>
    <row r="472" spans="7:7" x14ac:dyDescent="0.35">
      <c r="G472" s="2" t="str">
        <f>IFERROR((VLOOKUP(B472,SOE!F:G,2,FALSE)),"No probado")</f>
        <v>No probado</v>
      </c>
    </row>
    <row r="473" spans="7:7" x14ac:dyDescent="0.35">
      <c r="G473" s="2" t="str">
        <f>IFERROR((VLOOKUP(B473,SOE!F:G,2,FALSE)),"No probado")</f>
        <v>No probado</v>
      </c>
    </row>
    <row r="474" spans="7:7" x14ac:dyDescent="0.35">
      <c r="G474" s="2" t="str">
        <f>IFERROR((VLOOKUP(B474,SOE!F:G,2,FALSE)),"No probado")</f>
        <v>No probado</v>
      </c>
    </row>
    <row r="475" spans="7:7" x14ac:dyDescent="0.35">
      <c r="G475" s="2" t="str">
        <f>IFERROR((VLOOKUP(B475,SOE!F:G,2,FALSE)),"No probado")</f>
        <v>No probado</v>
      </c>
    </row>
    <row r="476" spans="7:7" x14ac:dyDescent="0.35">
      <c r="G476" s="2" t="str">
        <f>IFERROR((VLOOKUP(B476,SOE!F:G,2,FALSE)),"No probado")</f>
        <v>No probado</v>
      </c>
    </row>
    <row r="477" spans="7:7" x14ac:dyDescent="0.35">
      <c r="G477" s="2" t="str">
        <f>IFERROR((VLOOKUP(B477,SOE!F:G,2,FALSE)),"No probado")</f>
        <v>No probado</v>
      </c>
    </row>
    <row r="478" spans="7:7" x14ac:dyDescent="0.35">
      <c r="G478" s="2" t="str">
        <f>IFERROR((VLOOKUP(B478,SOE!F:G,2,FALSE)),"No probado")</f>
        <v>No probado</v>
      </c>
    </row>
    <row r="479" spans="7:7" x14ac:dyDescent="0.35">
      <c r="G479" s="2" t="str">
        <f>IFERROR((VLOOKUP(B479,SOE!F:G,2,FALSE)),"No probado")</f>
        <v>No probado</v>
      </c>
    </row>
    <row r="480" spans="7:7" x14ac:dyDescent="0.35">
      <c r="G480" s="2" t="str">
        <f>IFERROR((VLOOKUP(B480,SOE!F:G,2,FALSE)),"No probado")</f>
        <v>No probado</v>
      </c>
    </row>
    <row r="481" spans="7:7" x14ac:dyDescent="0.35">
      <c r="G481" s="2" t="str">
        <f>IFERROR((VLOOKUP(B481,SOE!F:G,2,FALSE)),"No probado")</f>
        <v>No probado</v>
      </c>
    </row>
    <row r="482" spans="7:7" x14ac:dyDescent="0.35">
      <c r="G482" s="2" t="str">
        <f>IFERROR((VLOOKUP(B482,SOE!F:G,2,FALSE)),"No probado")</f>
        <v>No probado</v>
      </c>
    </row>
    <row r="483" spans="7:7" x14ac:dyDescent="0.35">
      <c r="G483" s="2" t="str">
        <f>IFERROR((VLOOKUP(B483,SOE!F:G,2,FALSE)),"No probado")</f>
        <v>No probado</v>
      </c>
    </row>
    <row r="484" spans="7:7" x14ac:dyDescent="0.35">
      <c r="G484" s="2" t="str">
        <f>IFERROR((VLOOKUP(B484,SOE!F:G,2,FALSE)),"No probado")</f>
        <v>No probado</v>
      </c>
    </row>
    <row r="485" spans="7:7" x14ac:dyDescent="0.35">
      <c r="G485" s="2" t="str">
        <f>IFERROR((VLOOKUP(B485,SOE!F:G,2,FALSE)),"No probado")</f>
        <v>No probado</v>
      </c>
    </row>
    <row r="486" spans="7:7" x14ac:dyDescent="0.35">
      <c r="G486" s="2" t="str">
        <f>IFERROR((VLOOKUP(B486,SOE!F:G,2,FALSE)),"No probado")</f>
        <v>No probado</v>
      </c>
    </row>
    <row r="487" spans="7:7" x14ac:dyDescent="0.35">
      <c r="G487" s="2" t="str">
        <f>IFERROR((VLOOKUP(B487,SOE!F:G,2,FALSE)),"No probado")</f>
        <v>No probado</v>
      </c>
    </row>
    <row r="488" spans="7:7" x14ac:dyDescent="0.35">
      <c r="G488" s="2" t="str">
        <f>IFERROR((VLOOKUP(B488,SOE!F:G,2,FALSE)),"No probado")</f>
        <v>No probado</v>
      </c>
    </row>
    <row r="489" spans="7:7" x14ac:dyDescent="0.35">
      <c r="G489" s="2" t="str">
        <f>IFERROR((VLOOKUP(B489,SOE!F:G,2,FALSE)),"No probado")</f>
        <v>No probado</v>
      </c>
    </row>
    <row r="490" spans="7:7" x14ac:dyDescent="0.35">
      <c r="G490" s="2" t="str">
        <f>IFERROR((VLOOKUP(B490,SOE!F:G,2,FALSE)),"No probado")</f>
        <v>No probado</v>
      </c>
    </row>
    <row r="491" spans="7:7" x14ac:dyDescent="0.35">
      <c r="G491" s="2" t="str">
        <f>IFERROR((VLOOKUP(B491,SOE!F:G,2,FALSE)),"No probado")</f>
        <v>No probado</v>
      </c>
    </row>
    <row r="492" spans="7:7" x14ac:dyDescent="0.35">
      <c r="G492" s="2" t="str">
        <f>IFERROR((VLOOKUP(B492,SOE!F:G,2,FALSE)),"No probado")</f>
        <v>No probado</v>
      </c>
    </row>
    <row r="493" spans="7:7" x14ac:dyDescent="0.35">
      <c r="G493" s="2" t="str">
        <f>IFERROR((VLOOKUP(B493,SOE!F:G,2,FALSE)),"No probado")</f>
        <v>No probado</v>
      </c>
    </row>
    <row r="494" spans="7:7" x14ac:dyDescent="0.35">
      <c r="G494" s="2" t="str">
        <f>IFERROR((VLOOKUP(B494,SOE!F:G,2,FALSE)),"No probado")</f>
        <v>No probado</v>
      </c>
    </row>
    <row r="495" spans="7:7" x14ac:dyDescent="0.35">
      <c r="G495" s="2" t="str">
        <f>IFERROR((VLOOKUP(B495,SOE!F:G,2,FALSE)),"No probado")</f>
        <v>No probado</v>
      </c>
    </row>
    <row r="496" spans="7:7" x14ac:dyDescent="0.35">
      <c r="G496" s="2" t="str">
        <f>IFERROR((VLOOKUP(B496,SOE!F:G,2,FALSE)),"No probado")</f>
        <v>No probado</v>
      </c>
    </row>
    <row r="497" spans="7:7" x14ac:dyDescent="0.35">
      <c r="G497" s="2" t="str">
        <f>IFERROR((VLOOKUP(B497,SOE!F:G,2,FALSE)),"No probado")</f>
        <v>No probado</v>
      </c>
    </row>
    <row r="498" spans="7:7" x14ac:dyDescent="0.35">
      <c r="G498" s="2" t="str">
        <f>IFERROR((VLOOKUP(B498,SOE!F:G,2,FALSE)),"No probado")</f>
        <v>No probado</v>
      </c>
    </row>
    <row r="499" spans="7:7" x14ac:dyDescent="0.35">
      <c r="G499" s="2" t="str">
        <f>IFERROR((VLOOKUP(B499,SOE!F:G,2,FALSE)),"No probado")</f>
        <v>No probado</v>
      </c>
    </row>
    <row r="500" spans="7:7" x14ac:dyDescent="0.35">
      <c r="G500" s="2" t="str">
        <f>IFERROR((VLOOKUP(B500,SOE!F:G,2,FALSE)),"No probado")</f>
        <v>No probado</v>
      </c>
    </row>
    <row r="501" spans="7:7" x14ac:dyDescent="0.35">
      <c r="G501" s="2" t="str">
        <f>IFERROR((VLOOKUP(B501,SOE!F:G,2,FALSE)),"No probado")</f>
        <v>No probado</v>
      </c>
    </row>
    <row r="502" spans="7:7" x14ac:dyDescent="0.35">
      <c r="G502" s="2" t="str">
        <f>IFERROR((VLOOKUP(B502,SOE!F:G,2,FALSE)),"No probado")</f>
        <v>No probado</v>
      </c>
    </row>
    <row r="503" spans="7:7" x14ac:dyDescent="0.35">
      <c r="G503" s="2" t="str">
        <f>IFERROR((VLOOKUP(B503,SOE!F:G,2,FALSE)),"No probado")</f>
        <v>No probado</v>
      </c>
    </row>
    <row r="504" spans="7:7" x14ac:dyDescent="0.35">
      <c r="G504" s="2" t="str">
        <f>IFERROR((VLOOKUP(B504,SOE!F:G,2,FALSE)),"No probado")</f>
        <v>No probado</v>
      </c>
    </row>
    <row r="505" spans="7:7" x14ac:dyDescent="0.35">
      <c r="G505" s="2" t="str">
        <f>IFERROR((VLOOKUP(B505,SOE!F:G,2,FALSE)),"No probado")</f>
        <v>No probado</v>
      </c>
    </row>
    <row r="506" spans="7:7" x14ac:dyDescent="0.35">
      <c r="G506" s="2" t="str">
        <f>IFERROR((VLOOKUP(B506,SOE!F:G,2,FALSE)),"No probado")</f>
        <v>No probado</v>
      </c>
    </row>
    <row r="507" spans="7:7" x14ac:dyDescent="0.35">
      <c r="G507" s="2" t="str">
        <f>IFERROR((VLOOKUP(B507,SOE!F:G,2,FALSE)),"No probado")</f>
        <v>No probado</v>
      </c>
    </row>
    <row r="508" spans="7:7" x14ac:dyDescent="0.35">
      <c r="G508" s="2" t="str">
        <f>IFERROR((VLOOKUP(B508,SOE!F:G,2,FALSE)),"No probado")</f>
        <v>No probado</v>
      </c>
    </row>
    <row r="509" spans="7:7" x14ac:dyDescent="0.35">
      <c r="G509" s="2" t="str">
        <f>IFERROR((VLOOKUP(B509,SOE!F:G,2,FALSE)),"No probado")</f>
        <v>No probado</v>
      </c>
    </row>
    <row r="510" spans="7:7" x14ac:dyDescent="0.35">
      <c r="G510" s="2" t="str">
        <f>IFERROR((VLOOKUP(B510,SOE!F:G,2,FALSE)),"No probado")</f>
        <v>No probado</v>
      </c>
    </row>
    <row r="511" spans="7:7" x14ac:dyDescent="0.35">
      <c r="G511" s="2" t="str">
        <f>IFERROR((VLOOKUP(B511,SOE!F:G,2,FALSE)),"No probado")</f>
        <v>No probado</v>
      </c>
    </row>
    <row r="512" spans="7:7" x14ac:dyDescent="0.35">
      <c r="G512" s="2" t="str">
        <f>IFERROR((VLOOKUP(B512,SOE!F:G,2,FALSE)),"No probado")</f>
        <v>No probado</v>
      </c>
    </row>
    <row r="513" spans="7:7" x14ac:dyDescent="0.35">
      <c r="G513" s="2" t="str">
        <f>IFERROR((VLOOKUP(B513,SOE!F:G,2,FALSE)),"No probado")</f>
        <v>No probado</v>
      </c>
    </row>
    <row r="514" spans="7:7" x14ac:dyDescent="0.35">
      <c r="G514" s="2" t="str">
        <f>IFERROR((VLOOKUP(B514,SOE!F:G,2,FALSE)),"No probado")</f>
        <v>No probado</v>
      </c>
    </row>
    <row r="515" spans="7:7" x14ac:dyDescent="0.35">
      <c r="G515" s="2" t="str">
        <f>IFERROR((VLOOKUP(B515,SOE!F:G,2,FALSE)),"No probado")</f>
        <v>No probado</v>
      </c>
    </row>
    <row r="516" spans="7:7" x14ac:dyDescent="0.35">
      <c r="G516" s="2" t="str">
        <f>IFERROR((VLOOKUP(B516,SOE!F:G,2,FALSE)),"No probado")</f>
        <v>No probado</v>
      </c>
    </row>
    <row r="517" spans="7:7" x14ac:dyDescent="0.35">
      <c r="G517" s="2" t="str">
        <f>IFERROR((VLOOKUP(B517,SOE!F:G,2,FALSE)),"No probado")</f>
        <v>No probado</v>
      </c>
    </row>
    <row r="518" spans="7:7" x14ac:dyDescent="0.35">
      <c r="G518" s="2" t="str">
        <f>IFERROR((VLOOKUP(B518,SOE!F:G,2,FALSE)),"No probado")</f>
        <v>No probado</v>
      </c>
    </row>
    <row r="519" spans="7:7" x14ac:dyDescent="0.35">
      <c r="G519" s="2" t="str">
        <f>IFERROR((VLOOKUP(B519,SOE!F:G,2,FALSE)),"No probado")</f>
        <v>No probado</v>
      </c>
    </row>
    <row r="520" spans="7:7" x14ac:dyDescent="0.35">
      <c r="G520" s="2" t="str">
        <f>IFERROR((VLOOKUP(B520,SOE!F:G,2,FALSE)),"No probado")</f>
        <v>No probado</v>
      </c>
    </row>
    <row r="521" spans="7:7" x14ac:dyDescent="0.35">
      <c r="G521" s="2" t="str">
        <f>IFERROR((VLOOKUP(B521,SOE!F:G,2,FALSE)),"No probado")</f>
        <v>No probado</v>
      </c>
    </row>
    <row r="522" spans="7:7" x14ac:dyDescent="0.35">
      <c r="G522" s="2" t="str">
        <f>IFERROR((VLOOKUP(B522,SOE!F:G,2,FALSE)),"No probado")</f>
        <v>No probado</v>
      </c>
    </row>
    <row r="523" spans="7:7" x14ac:dyDescent="0.35">
      <c r="G523" s="2" t="str">
        <f>IFERROR((VLOOKUP(B523,SOE!F:G,2,FALSE)),"No probado")</f>
        <v>No probado</v>
      </c>
    </row>
    <row r="524" spans="7:7" x14ac:dyDescent="0.35">
      <c r="G524" s="2" t="str">
        <f>IFERROR((VLOOKUP(B524,SOE!F:G,2,FALSE)),"No probado")</f>
        <v>No probado</v>
      </c>
    </row>
    <row r="525" spans="7:7" x14ac:dyDescent="0.35">
      <c r="G525" s="2" t="str">
        <f>IFERROR((VLOOKUP(B525,SOE!F:G,2,FALSE)),"No probado")</f>
        <v>No probado</v>
      </c>
    </row>
    <row r="526" spans="7:7" x14ac:dyDescent="0.35">
      <c r="G526" s="2" t="str">
        <f>IFERROR((VLOOKUP(B526,SOE!F:G,2,FALSE)),"No probado")</f>
        <v>No probado</v>
      </c>
    </row>
    <row r="527" spans="7:7" x14ac:dyDescent="0.35">
      <c r="G527" s="2" t="str">
        <f>IFERROR((VLOOKUP(B527,SOE!F:G,2,FALSE)),"No probado")</f>
        <v>No probado</v>
      </c>
    </row>
    <row r="528" spans="7:7" x14ac:dyDescent="0.35">
      <c r="G528" s="2" t="str">
        <f>IFERROR((VLOOKUP(B528,SOE!F:G,2,FALSE)),"No probado")</f>
        <v>No probado</v>
      </c>
    </row>
    <row r="529" spans="7:7" x14ac:dyDescent="0.35">
      <c r="G529" s="2" t="str">
        <f>IFERROR((VLOOKUP(B529,SOE!F:G,2,FALSE)),"No probado")</f>
        <v>No probado</v>
      </c>
    </row>
    <row r="530" spans="7:7" x14ac:dyDescent="0.35">
      <c r="G530" s="2" t="str">
        <f>IFERROR((VLOOKUP(B530,SOE!F:G,2,FALSE)),"No probado")</f>
        <v>No probado</v>
      </c>
    </row>
    <row r="531" spans="7:7" x14ac:dyDescent="0.35">
      <c r="G531" s="2" t="str">
        <f>IFERROR((VLOOKUP(B531,SOE!F:G,2,FALSE)),"No probado")</f>
        <v>No probado</v>
      </c>
    </row>
    <row r="532" spans="7:7" x14ac:dyDescent="0.35">
      <c r="G532" s="2" t="str">
        <f>IFERROR((VLOOKUP(B532,SOE!F:G,2,FALSE)),"No probado")</f>
        <v>No probado</v>
      </c>
    </row>
    <row r="533" spans="7:7" x14ac:dyDescent="0.35">
      <c r="G533" s="2" t="str">
        <f>IFERROR((VLOOKUP(B533,SOE!F:G,2,FALSE)),"No probado")</f>
        <v>No probado</v>
      </c>
    </row>
    <row r="534" spans="7:7" x14ac:dyDescent="0.35">
      <c r="G534" s="2" t="str">
        <f>IFERROR((VLOOKUP(B534,SOE!F:G,2,FALSE)),"No probado")</f>
        <v>No probado</v>
      </c>
    </row>
    <row r="535" spans="7:7" x14ac:dyDescent="0.35">
      <c r="G535" s="2" t="str">
        <f>IFERROR((VLOOKUP(B535,SOE!F:G,2,FALSE)),"No probado")</f>
        <v>No probado</v>
      </c>
    </row>
    <row r="536" spans="7:7" x14ac:dyDescent="0.35">
      <c r="G536" s="2" t="str">
        <f>IFERROR((VLOOKUP(B536,SOE!F:G,2,FALSE)),"No probado")</f>
        <v>No probado</v>
      </c>
    </row>
    <row r="537" spans="7:7" x14ac:dyDescent="0.35">
      <c r="G537" s="2" t="str">
        <f>IFERROR((VLOOKUP(B537,SOE!F:G,2,FALSE)),"No probado")</f>
        <v>No probado</v>
      </c>
    </row>
    <row r="538" spans="7:7" x14ac:dyDescent="0.35">
      <c r="G538" s="2" t="str">
        <f>IFERROR((VLOOKUP(B538,SOE!F:G,2,FALSE)),"No probado")</f>
        <v>No probado</v>
      </c>
    </row>
    <row r="539" spans="7:7" x14ac:dyDescent="0.35">
      <c r="G539" s="2" t="str">
        <f>IFERROR((VLOOKUP(B539,SOE!F:G,2,FALSE)),"No probado")</f>
        <v>No probado</v>
      </c>
    </row>
    <row r="540" spans="7:7" x14ac:dyDescent="0.35">
      <c r="G540" s="2" t="str">
        <f>IFERROR((VLOOKUP(B540,SOE!F:G,2,FALSE)),"No probado")</f>
        <v>No probado</v>
      </c>
    </row>
    <row r="541" spans="7:7" x14ac:dyDescent="0.35">
      <c r="G541" s="2" t="str">
        <f>IFERROR((VLOOKUP(B541,SOE!F:G,2,FALSE)),"No probado")</f>
        <v>No probado</v>
      </c>
    </row>
    <row r="542" spans="7:7" x14ac:dyDescent="0.35">
      <c r="G542" s="2" t="str">
        <f>IFERROR((VLOOKUP(B542,SOE!F:G,2,FALSE)),"No probado")</f>
        <v>No probado</v>
      </c>
    </row>
    <row r="543" spans="7:7" x14ac:dyDescent="0.35">
      <c r="G543" s="2" t="str">
        <f>IFERROR((VLOOKUP(B543,SOE!F:G,2,FALSE)),"No probado")</f>
        <v>No probado</v>
      </c>
    </row>
    <row r="544" spans="7:7" x14ac:dyDescent="0.35">
      <c r="G544" s="2" t="str">
        <f>IFERROR((VLOOKUP(B544,SOE!F:G,2,FALSE)),"No probado")</f>
        <v>No probado</v>
      </c>
    </row>
    <row r="545" spans="7:7" x14ac:dyDescent="0.35">
      <c r="G545" s="2" t="str">
        <f>IFERROR((VLOOKUP(B545,SOE!F:G,2,FALSE)),"No probado")</f>
        <v>No probado</v>
      </c>
    </row>
    <row r="546" spans="7:7" x14ac:dyDescent="0.35">
      <c r="G546" s="2" t="str">
        <f>IFERROR((VLOOKUP(B546,SOE!F:G,2,FALSE)),"No probado")</f>
        <v>No probado</v>
      </c>
    </row>
    <row r="547" spans="7:7" x14ac:dyDescent="0.35">
      <c r="G547" s="2" t="str">
        <f>IFERROR((VLOOKUP(B547,SOE!F:G,2,FALSE)),"No probado")</f>
        <v>No probado</v>
      </c>
    </row>
    <row r="548" spans="7:7" x14ac:dyDescent="0.35">
      <c r="G548" s="2" t="str">
        <f>IFERROR((VLOOKUP(B548,SOE!F:G,2,FALSE)),"No probado")</f>
        <v>No probado</v>
      </c>
    </row>
    <row r="549" spans="7:7" x14ac:dyDescent="0.35">
      <c r="G549" s="2" t="str">
        <f>IFERROR((VLOOKUP(B549,SOE!F:G,2,FALSE)),"No probado")</f>
        <v>No probado</v>
      </c>
    </row>
    <row r="550" spans="7:7" x14ac:dyDescent="0.35">
      <c r="G550" s="2" t="str">
        <f>IFERROR((VLOOKUP(B550,SOE!F:G,2,FALSE)),"No probado")</f>
        <v>No probado</v>
      </c>
    </row>
    <row r="551" spans="7:7" x14ac:dyDescent="0.35">
      <c r="G551" s="2" t="str">
        <f>IFERROR((VLOOKUP(B551,SOE!F:G,2,FALSE)),"No probado")</f>
        <v>No probado</v>
      </c>
    </row>
    <row r="552" spans="7:7" x14ac:dyDescent="0.35">
      <c r="G552" s="2" t="str">
        <f>IFERROR((VLOOKUP(B552,SOE!F:G,2,FALSE)),"No probado")</f>
        <v>No probado</v>
      </c>
    </row>
    <row r="553" spans="7:7" x14ac:dyDescent="0.35">
      <c r="G553" s="2" t="str">
        <f>IFERROR((VLOOKUP(B553,SOE!F:G,2,FALSE)),"No probado")</f>
        <v>No probado</v>
      </c>
    </row>
    <row r="554" spans="7:7" x14ac:dyDescent="0.35">
      <c r="G554" s="2" t="str">
        <f>IFERROR((VLOOKUP(B554,SOE!F:G,2,FALSE)),"No probado")</f>
        <v>No probado</v>
      </c>
    </row>
    <row r="555" spans="7:7" x14ac:dyDescent="0.35">
      <c r="G555" s="2" t="str">
        <f>IFERROR((VLOOKUP(B555,SOE!F:G,2,FALSE)),"No probado")</f>
        <v>No probado</v>
      </c>
    </row>
    <row r="556" spans="7:7" x14ac:dyDescent="0.35">
      <c r="G556" s="2" t="str">
        <f>IFERROR((VLOOKUP(B556,SOE!F:G,2,FALSE)),"No probado")</f>
        <v>No probado</v>
      </c>
    </row>
    <row r="557" spans="7:7" x14ac:dyDescent="0.35">
      <c r="G557" s="2" t="str">
        <f>IFERROR((VLOOKUP(B557,SOE!F:G,2,FALSE)),"No probado")</f>
        <v>No probado</v>
      </c>
    </row>
    <row r="558" spans="7:7" x14ac:dyDescent="0.35">
      <c r="G558" s="2" t="str">
        <f>IFERROR((VLOOKUP(B558,SOE!F:G,2,FALSE)),"No probado")</f>
        <v>No probado</v>
      </c>
    </row>
    <row r="559" spans="7:7" x14ac:dyDescent="0.35">
      <c r="G559" s="2" t="str">
        <f>IFERROR((VLOOKUP(B559,SOE!F:G,2,FALSE)),"No probado")</f>
        <v>No probado</v>
      </c>
    </row>
    <row r="560" spans="7:7" x14ac:dyDescent="0.35">
      <c r="G560" s="2" t="str">
        <f>IFERROR((VLOOKUP(B560,SOE!F:G,2,FALSE)),"No probado")</f>
        <v>No probado</v>
      </c>
    </row>
    <row r="561" spans="7:7" x14ac:dyDescent="0.35">
      <c r="G561" s="2" t="str">
        <f>IFERROR((VLOOKUP(B561,SOE!F:G,2,FALSE)),"No probado")</f>
        <v>No probado</v>
      </c>
    </row>
    <row r="562" spans="7:7" x14ac:dyDescent="0.35">
      <c r="G562" s="2" t="str">
        <f>IFERROR((VLOOKUP(B562,SOE!F:G,2,FALSE)),"No probado")</f>
        <v>No probado</v>
      </c>
    </row>
    <row r="563" spans="7:7" x14ac:dyDescent="0.35">
      <c r="G563" s="2" t="str">
        <f>IFERROR((VLOOKUP(B563,SOE!F:G,2,FALSE)),"No probado")</f>
        <v>No probado</v>
      </c>
    </row>
    <row r="564" spans="7:7" x14ac:dyDescent="0.35">
      <c r="G564" s="2" t="str">
        <f>IFERROR((VLOOKUP(B564,SOE!F:G,2,FALSE)),"No probado")</f>
        <v>No probado</v>
      </c>
    </row>
    <row r="565" spans="7:7" x14ac:dyDescent="0.35">
      <c r="G565" s="2" t="str">
        <f>IFERROR((VLOOKUP(B565,SOE!F:G,2,FALSE)),"No probado")</f>
        <v>No probado</v>
      </c>
    </row>
    <row r="566" spans="7:7" x14ac:dyDescent="0.35">
      <c r="G566" s="2" t="str">
        <f>IFERROR((VLOOKUP(B566,SOE!F:G,2,FALSE)),"No probado")</f>
        <v>No probado</v>
      </c>
    </row>
    <row r="567" spans="7:7" x14ac:dyDescent="0.35">
      <c r="G567" s="2" t="str">
        <f>IFERROR((VLOOKUP(B567,SOE!F:G,2,FALSE)),"No probado")</f>
        <v>No probado</v>
      </c>
    </row>
    <row r="568" spans="7:7" x14ac:dyDescent="0.35">
      <c r="G568" s="2" t="str">
        <f>IFERROR((VLOOKUP(B568,SOE!F:G,2,FALSE)),"No probado")</f>
        <v>No probado</v>
      </c>
    </row>
    <row r="569" spans="7:7" x14ac:dyDescent="0.35">
      <c r="G569" s="2" t="str">
        <f>IFERROR((VLOOKUP(B569,SOE!F:G,2,FALSE)),"No probado")</f>
        <v>No probado</v>
      </c>
    </row>
    <row r="570" spans="7:7" x14ac:dyDescent="0.35">
      <c r="G570" s="2" t="str">
        <f>IFERROR((VLOOKUP(B570,SOE!F:G,2,FALSE)),"No probado")</f>
        <v>No probado</v>
      </c>
    </row>
    <row r="571" spans="7:7" x14ac:dyDescent="0.35">
      <c r="G571" s="2" t="str">
        <f>IFERROR((VLOOKUP(B571,SOE!F:G,2,FALSE)),"No probado")</f>
        <v>No probado</v>
      </c>
    </row>
    <row r="572" spans="7:7" x14ac:dyDescent="0.35">
      <c r="G572" s="2" t="str">
        <f>IFERROR((VLOOKUP(B572,SOE!F:G,2,FALSE)),"No probado")</f>
        <v>No probado</v>
      </c>
    </row>
    <row r="573" spans="7:7" x14ac:dyDescent="0.35">
      <c r="G573" s="2" t="str">
        <f>IFERROR((VLOOKUP(B573,SOE!F:G,2,FALSE)),"No probado")</f>
        <v>No probado</v>
      </c>
    </row>
    <row r="574" spans="7:7" x14ac:dyDescent="0.35">
      <c r="G574" s="2" t="str">
        <f>IFERROR((VLOOKUP(B574,SOE!F:G,2,FALSE)),"No probado")</f>
        <v>No probado</v>
      </c>
    </row>
    <row r="575" spans="7:7" x14ac:dyDescent="0.35">
      <c r="G575" s="2" t="str">
        <f>IFERROR((VLOOKUP(B575,SOE!F:G,2,FALSE)),"No probado")</f>
        <v>No probado</v>
      </c>
    </row>
    <row r="576" spans="7:7" x14ac:dyDescent="0.35">
      <c r="G576" s="2" t="str">
        <f>IFERROR((VLOOKUP(B576,SOE!F:G,2,FALSE)),"No probado")</f>
        <v>No probado</v>
      </c>
    </row>
    <row r="577" spans="7:7" x14ac:dyDescent="0.35">
      <c r="G577" s="2" t="str">
        <f>IFERROR((VLOOKUP(B577,SOE!F:G,2,FALSE)),"No probado")</f>
        <v>No probado</v>
      </c>
    </row>
    <row r="578" spans="7:7" x14ac:dyDescent="0.35">
      <c r="G578" s="2" t="str">
        <f>IFERROR((VLOOKUP(B578,SOE!F:G,2,FALSE)),"No probado")</f>
        <v>No probado</v>
      </c>
    </row>
    <row r="579" spans="7:7" x14ac:dyDescent="0.35">
      <c r="G579" s="2" t="str">
        <f>IFERROR((VLOOKUP(B579,SOE!F:G,2,FALSE)),"No probado")</f>
        <v>No probado</v>
      </c>
    </row>
    <row r="580" spans="7:7" x14ac:dyDescent="0.35">
      <c r="G580" s="2" t="str">
        <f>IFERROR((VLOOKUP(B580,SOE!F:G,2,FALSE)),"No probado")</f>
        <v>No probado</v>
      </c>
    </row>
    <row r="581" spans="7:7" x14ac:dyDescent="0.35">
      <c r="G581" s="2" t="str">
        <f>IFERROR((VLOOKUP(B581,SOE!F:G,2,FALSE)),"No probado")</f>
        <v>No probado</v>
      </c>
    </row>
    <row r="582" spans="7:7" x14ac:dyDescent="0.35">
      <c r="G582" s="2" t="str">
        <f>IFERROR((VLOOKUP(B582,SOE!F:G,2,FALSE)),"No probado")</f>
        <v>No probado</v>
      </c>
    </row>
    <row r="583" spans="7:7" x14ac:dyDescent="0.35">
      <c r="G583" s="2" t="str">
        <f>IFERROR((VLOOKUP(B583,SOE!F:G,2,FALSE)),"No probado")</f>
        <v>No probado</v>
      </c>
    </row>
    <row r="584" spans="7:7" x14ac:dyDescent="0.35">
      <c r="G584" s="2" t="str">
        <f>IFERROR((VLOOKUP(B584,SOE!F:G,2,FALSE)),"No probado")</f>
        <v>No probado</v>
      </c>
    </row>
    <row r="585" spans="7:7" x14ac:dyDescent="0.35">
      <c r="G585" s="2" t="str">
        <f>IFERROR((VLOOKUP(B585,SOE!F:G,2,FALSE)),"No probado")</f>
        <v>No probado</v>
      </c>
    </row>
    <row r="586" spans="7:7" x14ac:dyDescent="0.35">
      <c r="G586" s="2" t="str">
        <f>IFERROR((VLOOKUP(B586,SOE!F:G,2,FALSE)),"No probado")</f>
        <v>No probado</v>
      </c>
    </row>
    <row r="587" spans="7:7" x14ac:dyDescent="0.35">
      <c r="G587" s="2" t="str">
        <f>IFERROR((VLOOKUP(B587,SOE!F:G,2,FALSE)),"No probado")</f>
        <v>No probado</v>
      </c>
    </row>
    <row r="588" spans="7:7" x14ac:dyDescent="0.35">
      <c r="G588" s="2" t="str">
        <f>IFERROR((VLOOKUP(B588,SOE!F:G,2,FALSE)),"No probado")</f>
        <v>No probado</v>
      </c>
    </row>
    <row r="589" spans="7:7" x14ac:dyDescent="0.35">
      <c r="G589" s="2" t="str">
        <f>IFERROR((VLOOKUP(B589,SOE!F:G,2,FALSE)),"No probado")</f>
        <v>No probado</v>
      </c>
    </row>
    <row r="590" spans="7:7" x14ac:dyDescent="0.35">
      <c r="G590" s="2" t="str">
        <f>IFERROR((VLOOKUP(B590,SOE!F:G,2,FALSE)),"No probado")</f>
        <v>No probado</v>
      </c>
    </row>
    <row r="591" spans="7:7" x14ac:dyDescent="0.35">
      <c r="G591" s="2" t="str">
        <f>IFERROR((VLOOKUP(B591,SOE!F:G,2,FALSE)),"No probado")</f>
        <v>No probado</v>
      </c>
    </row>
    <row r="592" spans="7:7" x14ac:dyDescent="0.35">
      <c r="G592" s="2" t="str">
        <f>IFERROR((VLOOKUP(B592,SOE!F:G,2,FALSE)),"No probado")</f>
        <v>No probado</v>
      </c>
    </row>
    <row r="593" spans="7:7" x14ac:dyDescent="0.35">
      <c r="G593" s="2" t="str">
        <f>IFERROR((VLOOKUP(B593,SOE!F:G,2,FALSE)),"No probado")</f>
        <v>No probado</v>
      </c>
    </row>
    <row r="594" spans="7:7" x14ac:dyDescent="0.35">
      <c r="G594" s="2" t="str">
        <f>IFERROR((VLOOKUP(B594,SOE!F:G,2,FALSE)),"No probado")</f>
        <v>No probado</v>
      </c>
    </row>
    <row r="595" spans="7:7" x14ac:dyDescent="0.35">
      <c r="G595" s="2" t="str">
        <f>IFERROR((VLOOKUP(B595,SOE!F:G,2,FALSE)),"No probado")</f>
        <v>No probado</v>
      </c>
    </row>
    <row r="596" spans="7:7" x14ac:dyDescent="0.35">
      <c r="G596" s="2" t="str">
        <f>IFERROR((VLOOKUP(B596,SOE!F:G,2,FALSE)),"No probado")</f>
        <v>No probado</v>
      </c>
    </row>
    <row r="597" spans="7:7" x14ac:dyDescent="0.35">
      <c r="G597" s="2" t="str">
        <f>IFERROR((VLOOKUP(B597,SOE!F:G,2,FALSE)),"No probado")</f>
        <v>No probado</v>
      </c>
    </row>
    <row r="598" spans="7:7" x14ac:dyDescent="0.35">
      <c r="G598" s="2" t="str">
        <f>IFERROR((VLOOKUP(B598,SOE!F:G,2,FALSE)),"No probado")</f>
        <v>No probado</v>
      </c>
    </row>
    <row r="599" spans="7:7" x14ac:dyDescent="0.35">
      <c r="G599" s="2" t="str">
        <f>IFERROR((VLOOKUP(B599,SOE!F:G,2,FALSE)),"No probado")</f>
        <v>No probado</v>
      </c>
    </row>
    <row r="600" spans="7:7" x14ac:dyDescent="0.35">
      <c r="G600" s="2" t="str">
        <f>IFERROR((VLOOKUP(B600,SOE!F:G,2,FALSE)),"No probado")</f>
        <v>No probado</v>
      </c>
    </row>
    <row r="601" spans="7:7" x14ac:dyDescent="0.35">
      <c r="G601" s="2" t="str">
        <f>IFERROR((VLOOKUP(B601,SOE!F:G,2,FALSE)),"No probado")</f>
        <v>No probado</v>
      </c>
    </row>
    <row r="602" spans="7:7" x14ac:dyDescent="0.35">
      <c r="G602" s="2" t="str">
        <f>IFERROR((VLOOKUP(B602,SOE!F:G,2,FALSE)),"No probado")</f>
        <v>No probado</v>
      </c>
    </row>
    <row r="603" spans="7:7" x14ac:dyDescent="0.35">
      <c r="G603" s="2" t="str">
        <f>IFERROR((VLOOKUP(B603,SOE!F:G,2,FALSE)),"No probado")</f>
        <v>No probado</v>
      </c>
    </row>
    <row r="604" spans="7:7" x14ac:dyDescent="0.35">
      <c r="G604" s="2" t="str">
        <f>IFERROR((VLOOKUP(B604,SOE!F:G,2,FALSE)),"No probado")</f>
        <v>No probado</v>
      </c>
    </row>
    <row r="605" spans="7:7" x14ac:dyDescent="0.35">
      <c r="G605" s="2" t="str">
        <f>IFERROR((VLOOKUP(B605,SOE!F:G,2,FALSE)),"No probado")</f>
        <v>No probado</v>
      </c>
    </row>
    <row r="606" spans="7:7" x14ac:dyDescent="0.35">
      <c r="G606" s="2" t="str">
        <f>IFERROR((VLOOKUP(B606,SOE!F:G,2,FALSE)),"No probado")</f>
        <v>No probado</v>
      </c>
    </row>
    <row r="607" spans="7:7" x14ac:dyDescent="0.35">
      <c r="G607" s="2" t="str">
        <f>IFERROR((VLOOKUP(B607,SOE!F:G,2,FALSE)),"No probado")</f>
        <v>No probado</v>
      </c>
    </row>
    <row r="608" spans="7:7" x14ac:dyDescent="0.35">
      <c r="G608" s="2" t="str">
        <f>IFERROR((VLOOKUP(B608,SOE!F:G,2,FALSE)),"No probado")</f>
        <v>No probado</v>
      </c>
    </row>
    <row r="609" spans="7:7" x14ac:dyDescent="0.35">
      <c r="G609" s="2" t="str">
        <f>IFERROR((VLOOKUP(B609,SOE!F:G,2,FALSE)),"No probado")</f>
        <v>No probado</v>
      </c>
    </row>
    <row r="610" spans="7:7" x14ac:dyDescent="0.35">
      <c r="G610" s="2" t="str">
        <f>IFERROR((VLOOKUP(B610,SOE!F:G,2,FALSE)),"No probado")</f>
        <v>No probado</v>
      </c>
    </row>
    <row r="611" spans="7:7" x14ac:dyDescent="0.35">
      <c r="G611" s="2" t="str">
        <f>IFERROR((VLOOKUP(B611,SOE!F:G,2,FALSE)),"No probado")</f>
        <v>No probado</v>
      </c>
    </row>
    <row r="612" spans="7:7" x14ac:dyDescent="0.35">
      <c r="G612" s="2" t="str">
        <f>IFERROR((VLOOKUP(B612,SOE!F:G,2,FALSE)),"No probado")</f>
        <v>No probado</v>
      </c>
    </row>
    <row r="613" spans="7:7" x14ac:dyDescent="0.35">
      <c r="G613" s="2" t="str">
        <f>IFERROR((VLOOKUP(B613,SOE!F:G,2,FALSE)),"No probado")</f>
        <v>No probado</v>
      </c>
    </row>
    <row r="614" spans="7:7" x14ac:dyDescent="0.35">
      <c r="G614" s="2" t="str">
        <f>IFERROR((VLOOKUP(B614,SOE!F:G,2,FALSE)),"No probado")</f>
        <v>No probado</v>
      </c>
    </row>
    <row r="615" spans="7:7" x14ac:dyDescent="0.35">
      <c r="G615" s="2" t="str">
        <f>IFERROR((VLOOKUP(B615,SOE!F:G,2,FALSE)),"No probado")</f>
        <v>No probado</v>
      </c>
    </row>
    <row r="616" spans="7:7" x14ac:dyDescent="0.35">
      <c r="G616" s="2" t="str">
        <f>IFERROR((VLOOKUP(B616,SOE!F:G,2,FALSE)),"No probado")</f>
        <v>No probado</v>
      </c>
    </row>
    <row r="617" spans="7:7" x14ac:dyDescent="0.35">
      <c r="G617" s="2" t="str">
        <f>IFERROR((VLOOKUP(B617,SOE!F:G,2,FALSE)),"No probado")</f>
        <v>No probado</v>
      </c>
    </row>
    <row r="618" spans="7:7" x14ac:dyDescent="0.35">
      <c r="G618" s="2" t="str">
        <f>IFERROR((VLOOKUP(B618,SOE!F:G,2,FALSE)),"No probado")</f>
        <v>No probado</v>
      </c>
    </row>
    <row r="619" spans="7:7" x14ac:dyDescent="0.35">
      <c r="G619" s="2" t="str">
        <f>IFERROR((VLOOKUP(B619,SOE!F:G,2,FALSE)),"No probado")</f>
        <v>No probado</v>
      </c>
    </row>
    <row r="620" spans="7:7" x14ac:dyDescent="0.35">
      <c r="G620" s="2" t="str">
        <f>IFERROR((VLOOKUP(B620,SOE!F:G,2,FALSE)),"No probado")</f>
        <v>No probado</v>
      </c>
    </row>
    <row r="621" spans="7:7" x14ac:dyDescent="0.35">
      <c r="G621" s="2" t="str">
        <f>IFERROR((VLOOKUP(B621,SOE!F:G,2,FALSE)),"No probado")</f>
        <v>No probado</v>
      </c>
    </row>
    <row r="622" spans="7:7" x14ac:dyDescent="0.35">
      <c r="G622" s="2" t="str">
        <f>IFERROR((VLOOKUP(B622,SOE!F:G,2,FALSE)),"No probado")</f>
        <v>No probado</v>
      </c>
    </row>
    <row r="623" spans="7:7" x14ac:dyDescent="0.35">
      <c r="G623" s="2" t="str">
        <f>IFERROR((VLOOKUP(B623,SOE!F:G,2,FALSE)),"No probado")</f>
        <v>No probado</v>
      </c>
    </row>
    <row r="624" spans="7:7" x14ac:dyDescent="0.35">
      <c r="G624" s="2" t="str">
        <f>IFERROR((VLOOKUP(B624,SOE!F:G,2,FALSE)),"No probado")</f>
        <v>No probado</v>
      </c>
    </row>
    <row r="625" spans="7:7" x14ac:dyDescent="0.35">
      <c r="G625" s="2" t="str">
        <f>IFERROR((VLOOKUP(B625,SOE!F:G,2,FALSE)),"No probado")</f>
        <v>No probado</v>
      </c>
    </row>
    <row r="626" spans="7:7" x14ac:dyDescent="0.35">
      <c r="G626" s="2" t="str">
        <f>IFERROR((VLOOKUP(B626,SOE!F:G,2,FALSE)),"No probado")</f>
        <v>No probado</v>
      </c>
    </row>
    <row r="627" spans="7:7" x14ac:dyDescent="0.35">
      <c r="G627" s="2" t="str">
        <f>IFERROR((VLOOKUP(B627,SOE!F:G,2,FALSE)),"No probado")</f>
        <v>No probado</v>
      </c>
    </row>
    <row r="628" spans="7:7" x14ac:dyDescent="0.35">
      <c r="G628" s="2" t="str">
        <f>IFERROR((VLOOKUP(B628,SOE!F:G,2,FALSE)),"No probado")</f>
        <v>No probado</v>
      </c>
    </row>
    <row r="629" spans="7:7" x14ac:dyDescent="0.35">
      <c r="G629" s="2" t="str">
        <f>IFERROR((VLOOKUP(B629,SOE!F:G,2,FALSE)),"No probado")</f>
        <v>No probado</v>
      </c>
    </row>
    <row r="630" spans="7:7" x14ac:dyDescent="0.35">
      <c r="G630" s="2" t="str">
        <f>IFERROR((VLOOKUP(B630,SOE!F:G,2,FALSE)),"No probado")</f>
        <v>No probado</v>
      </c>
    </row>
    <row r="631" spans="7:7" x14ac:dyDescent="0.35">
      <c r="G631" s="2" t="str">
        <f>IFERROR((VLOOKUP(B631,SOE!F:G,2,FALSE)),"No probado")</f>
        <v>No probado</v>
      </c>
    </row>
    <row r="632" spans="7:7" x14ac:dyDescent="0.35">
      <c r="G632" s="2" t="str">
        <f>IFERROR((VLOOKUP(B632,SOE!F:G,2,FALSE)),"No probado")</f>
        <v>No probado</v>
      </c>
    </row>
    <row r="633" spans="7:7" x14ac:dyDescent="0.35">
      <c r="G633" s="2" t="str">
        <f>IFERROR((VLOOKUP(B633,SOE!F:G,2,FALSE)),"No probado")</f>
        <v>No probado</v>
      </c>
    </row>
    <row r="634" spans="7:7" x14ac:dyDescent="0.35">
      <c r="G634" s="2" t="str">
        <f>IFERROR((VLOOKUP(B634,SOE!F:G,2,FALSE)),"No probado")</f>
        <v>No probado</v>
      </c>
    </row>
    <row r="635" spans="7:7" x14ac:dyDescent="0.35">
      <c r="G635" s="2" t="str">
        <f>IFERROR((VLOOKUP(B635,SOE!F:G,2,FALSE)),"No probado")</f>
        <v>No probado</v>
      </c>
    </row>
    <row r="636" spans="7:7" x14ac:dyDescent="0.35">
      <c r="G636" s="2" t="str">
        <f>IFERROR((VLOOKUP(B636,SOE!F:G,2,FALSE)),"No probado")</f>
        <v>No probado</v>
      </c>
    </row>
    <row r="637" spans="7:7" x14ac:dyDescent="0.35">
      <c r="G637" s="2" t="str">
        <f>IFERROR((VLOOKUP(B637,SOE!F:G,2,FALSE)),"No probado")</f>
        <v>No probado</v>
      </c>
    </row>
    <row r="638" spans="7:7" x14ac:dyDescent="0.35">
      <c r="G638" s="2" t="str">
        <f>IFERROR((VLOOKUP(B638,SOE!F:G,2,FALSE)),"No probado")</f>
        <v>No probado</v>
      </c>
    </row>
    <row r="639" spans="7:7" x14ac:dyDescent="0.35">
      <c r="G639" s="2" t="str">
        <f>IFERROR((VLOOKUP(B639,SOE!F:G,2,FALSE)),"No probado")</f>
        <v>No probado</v>
      </c>
    </row>
    <row r="640" spans="7:7" x14ac:dyDescent="0.35">
      <c r="G640" s="2" t="str">
        <f>IFERROR((VLOOKUP(B640,SOE!F:G,2,FALSE)),"No probado")</f>
        <v>No probado</v>
      </c>
    </row>
    <row r="641" spans="7:7" x14ac:dyDescent="0.35">
      <c r="G641" s="2" t="str">
        <f>IFERROR((VLOOKUP(B641,SOE!F:G,2,FALSE)),"No probado")</f>
        <v>No probado</v>
      </c>
    </row>
    <row r="642" spans="7:7" x14ac:dyDescent="0.35">
      <c r="G642" s="2" t="str">
        <f>IFERROR((VLOOKUP(B642,SOE!F:G,2,FALSE)),"No probado")</f>
        <v>No probado</v>
      </c>
    </row>
    <row r="643" spans="7:7" x14ac:dyDescent="0.35">
      <c r="G643" s="2" t="str">
        <f>IFERROR((VLOOKUP(B643,SOE!F:G,2,FALSE)),"No probado")</f>
        <v>No probado</v>
      </c>
    </row>
    <row r="644" spans="7:7" x14ac:dyDescent="0.35">
      <c r="G644" s="2" t="str">
        <f>IFERROR((VLOOKUP(B644,SOE!F:G,2,FALSE)),"No probado")</f>
        <v>No probado</v>
      </c>
    </row>
    <row r="645" spans="7:7" x14ac:dyDescent="0.35">
      <c r="G645" s="2" t="str">
        <f>IFERROR((VLOOKUP(B645,SOE!F:G,2,FALSE)),"No probado")</f>
        <v>No probado</v>
      </c>
    </row>
    <row r="646" spans="7:7" x14ac:dyDescent="0.35">
      <c r="G646" s="2" t="str">
        <f>IFERROR((VLOOKUP(B646,SOE!F:G,2,FALSE)),"No probado")</f>
        <v>No probado</v>
      </c>
    </row>
    <row r="647" spans="7:7" x14ac:dyDescent="0.35">
      <c r="G647" s="2" t="str">
        <f>IFERROR((VLOOKUP(B647,SOE!F:G,2,FALSE)),"No probado")</f>
        <v>No probado</v>
      </c>
    </row>
    <row r="648" spans="7:7" x14ac:dyDescent="0.35">
      <c r="G648" s="2" t="str">
        <f>IFERROR((VLOOKUP(B648,SOE!F:G,2,FALSE)),"No probado")</f>
        <v>No probado</v>
      </c>
    </row>
    <row r="649" spans="7:7" x14ac:dyDescent="0.35">
      <c r="G649" s="2" t="str">
        <f>IFERROR((VLOOKUP(B649,SOE!F:G,2,FALSE)),"No probado")</f>
        <v>No probado</v>
      </c>
    </row>
    <row r="650" spans="7:7" x14ac:dyDescent="0.35">
      <c r="G650" s="2" t="str">
        <f>IFERROR((VLOOKUP(B650,SOE!F:G,2,FALSE)),"No probado")</f>
        <v>No probado</v>
      </c>
    </row>
    <row r="651" spans="7:7" x14ac:dyDescent="0.35">
      <c r="G651" s="2" t="str">
        <f>IFERROR((VLOOKUP(B651,SOE!F:G,2,FALSE)),"No probado")</f>
        <v>No probado</v>
      </c>
    </row>
    <row r="652" spans="7:7" x14ac:dyDescent="0.35">
      <c r="G652" s="2" t="str">
        <f>IFERROR((VLOOKUP(B652,SOE!F:G,2,FALSE)),"No probado")</f>
        <v>No probado</v>
      </c>
    </row>
    <row r="653" spans="7:7" x14ac:dyDescent="0.35">
      <c r="G653" s="2" t="str">
        <f>IFERROR((VLOOKUP(B653,SOE!F:G,2,FALSE)),"No probado")</f>
        <v>No probado</v>
      </c>
    </row>
    <row r="654" spans="7:7" x14ac:dyDescent="0.35">
      <c r="G654" s="2" t="str">
        <f>IFERROR((VLOOKUP(B654,SOE!F:G,2,FALSE)),"No probado")</f>
        <v>No probado</v>
      </c>
    </row>
    <row r="655" spans="7:7" x14ac:dyDescent="0.35">
      <c r="G655" s="2" t="str">
        <f>IFERROR((VLOOKUP(B655,SOE!F:G,2,FALSE)),"No probado")</f>
        <v>No probado</v>
      </c>
    </row>
    <row r="656" spans="7:7" x14ac:dyDescent="0.35">
      <c r="G656" s="2" t="str">
        <f>IFERROR((VLOOKUP(B656,SOE!F:G,2,FALSE)),"No probado")</f>
        <v>No probado</v>
      </c>
    </row>
    <row r="657" spans="7:7" x14ac:dyDescent="0.35">
      <c r="G657" s="2" t="str">
        <f>IFERROR((VLOOKUP(B657,SOE!F:G,2,FALSE)),"No probado")</f>
        <v>No probado</v>
      </c>
    </row>
    <row r="658" spans="7:7" x14ac:dyDescent="0.35">
      <c r="G658" s="2" t="str">
        <f>IFERROR((VLOOKUP(B658,SOE!F:G,2,FALSE)),"No probado")</f>
        <v>No probado</v>
      </c>
    </row>
    <row r="659" spans="7:7" x14ac:dyDescent="0.35">
      <c r="G659" s="2" t="str">
        <f>IFERROR((VLOOKUP(B659,SOE!F:G,2,FALSE)),"No probado")</f>
        <v>No probado</v>
      </c>
    </row>
    <row r="660" spans="7:7" x14ac:dyDescent="0.35">
      <c r="G660" s="2" t="str">
        <f>IFERROR((VLOOKUP(B660,SOE!F:G,2,FALSE)),"No probado")</f>
        <v>No probado</v>
      </c>
    </row>
    <row r="661" spans="7:7" x14ac:dyDescent="0.35">
      <c r="G661" s="2" t="str">
        <f>IFERROR((VLOOKUP(B661,SOE!F:G,2,FALSE)),"No probado")</f>
        <v>No probado</v>
      </c>
    </row>
    <row r="662" spans="7:7" x14ac:dyDescent="0.35">
      <c r="G662" s="2" t="str">
        <f>IFERROR((VLOOKUP(B662,SOE!F:G,2,FALSE)),"No probado")</f>
        <v>No probado</v>
      </c>
    </row>
    <row r="663" spans="7:7" x14ac:dyDescent="0.35">
      <c r="G663" s="2" t="str">
        <f>IFERROR((VLOOKUP(B663,SOE!F:G,2,FALSE)),"No probado")</f>
        <v>No probado</v>
      </c>
    </row>
    <row r="664" spans="7:7" x14ac:dyDescent="0.35">
      <c r="G664" s="2" t="str">
        <f>IFERROR((VLOOKUP(B664,SOE!F:G,2,FALSE)),"No probado")</f>
        <v>No probado</v>
      </c>
    </row>
    <row r="665" spans="7:7" x14ac:dyDescent="0.35">
      <c r="G665" s="2" t="str">
        <f>IFERROR((VLOOKUP(B665,SOE!F:G,2,FALSE)),"No probado")</f>
        <v>No probado</v>
      </c>
    </row>
    <row r="666" spans="7:7" x14ac:dyDescent="0.35">
      <c r="G666" s="2" t="str">
        <f>IFERROR((VLOOKUP(B666,SOE!F:G,2,FALSE)),"No probado")</f>
        <v>No probado</v>
      </c>
    </row>
    <row r="667" spans="7:7" x14ac:dyDescent="0.35">
      <c r="G667" s="2" t="str">
        <f>IFERROR((VLOOKUP(B667,SOE!F:G,2,FALSE)),"No probado")</f>
        <v>No probado</v>
      </c>
    </row>
    <row r="668" spans="7:7" x14ac:dyDescent="0.35">
      <c r="G668" s="2" t="str">
        <f>IFERROR((VLOOKUP(B668,SOE!F:G,2,FALSE)),"No probado")</f>
        <v>No probado</v>
      </c>
    </row>
    <row r="669" spans="7:7" x14ac:dyDescent="0.35">
      <c r="G669" s="2" t="str">
        <f>IFERROR((VLOOKUP(B669,SOE!F:G,2,FALSE)),"No probado")</f>
        <v>No probado</v>
      </c>
    </row>
    <row r="670" spans="7:7" x14ac:dyDescent="0.35">
      <c r="G670" s="2" t="str">
        <f>IFERROR((VLOOKUP(B670,SOE!F:G,2,FALSE)),"No probado")</f>
        <v>No probado</v>
      </c>
    </row>
    <row r="671" spans="7:7" x14ac:dyDescent="0.35">
      <c r="G671" s="2" t="str">
        <f>IFERROR((VLOOKUP(B671,SOE!F:G,2,FALSE)),"No probado")</f>
        <v>No probado</v>
      </c>
    </row>
    <row r="672" spans="7:7" x14ac:dyDescent="0.35">
      <c r="G672" s="2" t="str">
        <f>IFERROR((VLOOKUP(B672,SOE!F:G,2,FALSE)),"No probado")</f>
        <v>No probado</v>
      </c>
    </row>
    <row r="673" spans="7:7" x14ac:dyDescent="0.35">
      <c r="G673" s="2" t="str">
        <f>IFERROR((VLOOKUP(B673,SOE!F:G,2,FALSE)),"No probado")</f>
        <v>No probado</v>
      </c>
    </row>
    <row r="674" spans="7:7" x14ac:dyDescent="0.35">
      <c r="G674" s="2" t="str">
        <f>IFERROR((VLOOKUP(B674,SOE!F:G,2,FALSE)),"No probado")</f>
        <v>No probado</v>
      </c>
    </row>
    <row r="675" spans="7:7" x14ac:dyDescent="0.35">
      <c r="G675" s="2" t="str">
        <f>IFERROR((VLOOKUP(B675,SOE!F:G,2,FALSE)),"No probado")</f>
        <v>No probado</v>
      </c>
    </row>
    <row r="676" spans="7:7" x14ac:dyDescent="0.35">
      <c r="G676" s="2" t="str">
        <f>IFERROR((VLOOKUP(B676,SOE!F:G,2,FALSE)),"No probado")</f>
        <v>No probado</v>
      </c>
    </row>
    <row r="677" spans="7:7" x14ac:dyDescent="0.35">
      <c r="G677" s="2" t="str">
        <f>IFERROR((VLOOKUP(B677,SOE!F:G,2,FALSE)),"No probado")</f>
        <v>No probado</v>
      </c>
    </row>
    <row r="678" spans="7:7" x14ac:dyDescent="0.35">
      <c r="G678" s="2" t="str">
        <f>IFERROR((VLOOKUP(B678,SOE!F:G,2,FALSE)),"No probado")</f>
        <v>No probado</v>
      </c>
    </row>
    <row r="679" spans="7:7" x14ac:dyDescent="0.35">
      <c r="G679" s="2" t="str">
        <f>IFERROR((VLOOKUP(B679,SOE!F:G,2,FALSE)),"No probado")</f>
        <v>No probado</v>
      </c>
    </row>
    <row r="680" spans="7:7" x14ac:dyDescent="0.35">
      <c r="G680" s="2" t="str">
        <f>IFERROR((VLOOKUP(B680,SOE!F:G,2,FALSE)),"No probado")</f>
        <v>No probado</v>
      </c>
    </row>
    <row r="681" spans="7:7" x14ac:dyDescent="0.35">
      <c r="G681" s="2" t="str">
        <f>IFERROR((VLOOKUP(B681,SOE!F:G,2,FALSE)),"No probado")</f>
        <v>No probado</v>
      </c>
    </row>
    <row r="682" spans="7:7" x14ac:dyDescent="0.35">
      <c r="G682" s="2" t="str">
        <f>IFERROR((VLOOKUP(B682,SOE!F:G,2,FALSE)),"No probado")</f>
        <v>No probado</v>
      </c>
    </row>
    <row r="683" spans="7:7" x14ac:dyDescent="0.35">
      <c r="G683" s="2" t="str">
        <f>IFERROR((VLOOKUP(B683,SOE!F:G,2,FALSE)),"No probado")</f>
        <v>No probado</v>
      </c>
    </row>
    <row r="684" spans="7:7" x14ac:dyDescent="0.35">
      <c r="G684" s="2" t="str">
        <f>IFERROR((VLOOKUP(B684,SOE!F:G,2,FALSE)),"No probado")</f>
        <v>No probado</v>
      </c>
    </row>
    <row r="685" spans="7:7" x14ac:dyDescent="0.35">
      <c r="G685" s="2" t="str">
        <f>IFERROR((VLOOKUP(B685,SOE!F:G,2,FALSE)),"No probado")</f>
        <v>No probado</v>
      </c>
    </row>
    <row r="686" spans="7:7" x14ac:dyDescent="0.35">
      <c r="G686" s="2" t="str">
        <f>IFERROR((VLOOKUP(B686,SOE!F:G,2,FALSE)),"No probado")</f>
        <v>No probado</v>
      </c>
    </row>
    <row r="687" spans="7:7" x14ac:dyDescent="0.35">
      <c r="G687" s="2" t="str">
        <f>IFERROR((VLOOKUP(B687,SOE!F:G,2,FALSE)),"No probado")</f>
        <v>No probado</v>
      </c>
    </row>
    <row r="688" spans="7:7" x14ac:dyDescent="0.35">
      <c r="G688" s="2" t="str">
        <f>IFERROR((VLOOKUP(B688,SOE!F:G,2,FALSE)),"No probado")</f>
        <v>No probado</v>
      </c>
    </row>
    <row r="689" spans="7:7" x14ac:dyDescent="0.35">
      <c r="G689" s="2" t="str">
        <f>IFERROR((VLOOKUP(B689,SOE!F:G,2,FALSE)),"No probado")</f>
        <v>No probado</v>
      </c>
    </row>
    <row r="690" spans="7:7" x14ac:dyDescent="0.35">
      <c r="G690" s="2" t="str">
        <f>IFERROR((VLOOKUP(B690,SOE!F:G,2,FALSE)),"No probado")</f>
        <v>No probado</v>
      </c>
    </row>
    <row r="691" spans="7:7" x14ac:dyDescent="0.35">
      <c r="G691" s="2" t="str">
        <f>IFERROR((VLOOKUP(B691,SOE!F:G,2,FALSE)),"No probado")</f>
        <v>No probado</v>
      </c>
    </row>
    <row r="692" spans="7:7" x14ac:dyDescent="0.35">
      <c r="G692" s="2" t="str">
        <f>IFERROR((VLOOKUP(B692,SOE!F:G,2,FALSE)),"No probado")</f>
        <v>No probado</v>
      </c>
    </row>
    <row r="693" spans="7:7" x14ac:dyDescent="0.35">
      <c r="G693" s="2" t="str">
        <f>IFERROR((VLOOKUP(B693,SOE!F:G,2,FALSE)),"No probado")</f>
        <v>No probado</v>
      </c>
    </row>
    <row r="694" spans="7:7" x14ac:dyDescent="0.35">
      <c r="G694" s="2" t="str">
        <f>IFERROR((VLOOKUP(B694,SOE!F:G,2,FALSE)),"No probado")</f>
        <v>No probado</v>
      </c>
    </row>
    <row r="695" spans="7:7" x14ac:dyDescent="0.35">
      <c r="G695" s="2" t="str">
        <f>IFERROR((VLOOKUP(B695,SOE!F:G,2,FALSE)),"No probado")</f>
        <v>No probado</v>
      </c>
    </row>
    <row r="696" spans="7:7" x14ac:dyDescent="0.35">
      <c r="G696" s="2" t="str">
        <f>IFERROR((VLOOKUP(B696,SOE!F:G,2,FALSE)),"No probado")</f>
        <v>No probado</v>
      </c>
    </row>
    <row r="697" spans="7:7" x14ac:dyDescent="0.35">
      <c r="G697" s="2" t="str">
        <f>IFERROR((VLOOKUP(B697,SOE!F:G,2,FALSE)),"No probado")</f>
        <v>No probado</v>
      </c>
    </row>
    <row r="698" spans="7:7" x14ac:dyDescent="0.35">
      <c r="G698" s="2" t="str">
        <f>IFERROR((VLOOKUP(B698,SOE!F:G,2,FALSE)),"No probado")</f>
        <v>No probado</v>
      </c>
    </row>
    <row r="699" spans="7:7" x14ac:dyDescent="0.35">
      <c r="G699" s="2" t="str">
        <f>IFERROR((VLOOKUP(B699,SOE!F:G,2,FALSE)),"No probado")</f>
        <v>No probado</v>
      </c>
    </row>
    <row r="700" spans="7:7" x14ac:dyDescent="0.35">
      <c r="G700" s="2" t="str">
        <f>IFERROR((VLOOKUP(B700,SOE!F:G,2,FALSE)),"No probado")</f>
        <v>No probado</v>
      </c>
    </row>
    <row r="701" spans="7:7" x14ac:dyDescent="0.35">
      <c r="G701" s="2" t="str">
        <f>IFERROR((VLOOKUP(B701,SOE!F:G,2,FALSE)),"No probado")</f>
        <v>No probado</v>
      </c>
    </row>
    <row r="702" spans="7:7" x14ac:dyDescent="0.35">
      <c r="G702" s="2" t="str">
        <f>IFERROR((VLOOKUP(B702,SOE!F:G,2,FALSE)),"No probado")</f>
        <v>No probado</v>
      </c>
    </row>
    <row r="703" spans="7:7" x14ac:dyDescent="0.35">
      <c r="G703" s="2" t="str">
        <f>IFERROR((VLOOKUP(B703,SOE!F:G,2,FALSE)),"No probado")</f>
        <v>No probado</v>
      </c>
    </row>
    <row r="704" spans="7:7" x14ac:dyDescent="0.35">
      <c r="G704" s="2" t="str">
        <f>IFERROR((VLOOKUP(B704,SOE!F:G,2,FALSE)),"No probado")</f>
        <v>No probado</v>
      </c>
    </row>
    <row r="705" spans="7:7" x14ac:dyDescent="0.35">
      <c r="G705" s="2" t="str">
        <f>IFERROR((VLOOKUP(B705,SOE!F:G,2,FALSE)),"No probado")</f>
        <v>No probado</v>
      </c>
    </row>
    <row r="706" spans="7:7" x14ac:dyDescent="0.35">
      <c r="G706" s="2" t="str">
        <f>IFERROR((VLOOKUP(B706,SOE!F:G,2,FALSE)),"No probado")</f>
        <v>No probado</v>
      </c>
    </row>
    <row r="707" spans="7:7" x14ac:dyDescent="0.35">
      <c r="G707" s="2" t="str">
        <f>IFERROR((VLOOKUP(B707,SOE!F:G,2,FALSE)),"No probado")</f>
        <v>No probado</v>
      </c>
    </row>
    <row r="708" spans="7:7" x14ac:dyDescent="0.35">
      <c r="G708" s="2" t="str">
        <f>IFERROR((VLOOKUP(B708,SOE!F:G,2,FALSE)),"No probado")</f>
        <v>No probado</v>
      </c>
    </row>
    <row r="709" spans="7:7" x14ac:dyDescent="0.35">
      <c r="G709" s="2" t="str">
        <f>IFERROR((VLOOKUP(B709,SOE!F:G,2,FALSE)),"No probado")</f>
        <v>No probado</v>
      </c>
    </row>
    <row r="710" spans="7:7" x14ac:dyDescent="0.35">
      <c r="G710" s="2" t="str">
        <f>IFERROR((VLOOKUP(B710,SOE!F:G,2,FALSE)),"No probado")</f>
        <v>No probado</v>
      </c>
    </row>
    <row r="711" spans="7:7" x14ac:dyDescent="0.35">
      <c r="G711" s="2" t="str">
        <f>IFERROR((VLOOKUP(B711,SOE!F:G,2,FALSE)),"No probado")</f>
        <v>No probado</v>
      </c>
    </row>
    <row r="712" spans="7:7" x14ac:dyDescent="0.35">
      <c r="G712" s="2" t="str">
        <f>IFERROR((VLOOKUP(B712,SOE!F:G,2,FALSE)),"No probado")</f>
        <v>No probado</v>
      </c>
    </row>
    <row r="713" spans="7:7" x14ac:dyDescent="0.35">
      <c r="G713" s="2" t="str">
        <f>IFERROR((VLOOKUP(B713,SOE!F:G,2,FALSE)),"No probado")</f>
        <v>No probado</v>
      </c>
    </row>
    <row r="714" spans="7:7" x14ac:dyDescent="0.35">
      <c r="G714" s="2" t="str">
        <f>IFERROR((VLOOKUP(B714,SOE!F:G,2,FALSE)),"No probado")</f>
        <v>No probado</v>
      </c>
    </row>
    <row r="715" spans="7:7" x14ac:dyDescent="0.35">
      <c r="G715" s="2" t="str">
        <f>IFERROR((VLOOKUP(B715,SOE!F:G,2,FALSE)),"No probado")</f>
        <v>No probado</v>
      </c>
    </row>
    <row r="716" spans="7:7" x14ac:dyDescent="0.35">
      <c r="G716" s="2" t="str">
        <f>IFERROR((VLOOKUP(B716,SOE!F:G,2,FALSE)),"No probado")</f>
        <v>No probado</v>
      </c>
    </row>
    <row r="717" spans="7:7" x14ac:dyDescent="0.35">
      <c r="G717" s="2" t="str">
        <f>IFERROR((VLOOKUP(B717,SOE!F:G,2,FALSE)),"No probado")</f>
        <v>No probado</v>
      </c>
    </row>
    <row r="718" spans="7:7" x14ac:dyDescent="0.35">
      <c r="G718" s="2" t="str">
        <f>IFERROR((VLOOKUP(B718,SOE!F:G,2,FALSE)),"No probado")</f>
        <v>No probado</v>
      </c>
    </row>
    <row r="719" spans="7:7" x14ac:dyDescent="0.35">
      <c r="G719" s="2" t="str">
        <f>IFERROR((VLOOKUP(B719,SOE!F:G,2,FALSE)),"No probado")</f>
        <v>No probado</v>
      </c>
    </row>
    <row r="720" spans="7:7" x14ac:dyDescent="0.35">
      <c r="G720" s="2" t="str">
        <f>IFERROR((VLOOKUP(B720,SOE!F:G,2,FALSE)),"No probado")</f>
        <v>No probado</v>
      </c>
    </row>
    <row r="721" spans="7:7" x14ac:dyDescent="0.35">
      <c r="G721" s="2" t="str">
        <f>IFERROR((VLOOKUP(B721,SOE!F:G,2,FALSE)),"No probado")</f>
        <v>No probado</v>
      </c>
    </row>
    <row r="722" spans="7:7" x14ac:dyDescent="0.35">
      <c r="G722" s="2" t="str">
        <f>IFERROR((VLOOKUP(B722,SOE!F:G,2,FALSE)),"No probado")</f>
        <v>No probado</v>
      </c>
    </row>
    <row r="723" spans="7:7" x14ac:dyDescent="0.35">
      <c r="G723" s="2" t="str">
        <f>IFERROR((VLOOKUP(B723,SOE!F:G,2,FALSE)),"No probado")</f>
        <v>No probado</v>
      </c>
    </row>
    <row r="724" spans="7:7" x14ac:dyDescent="0.35">
      <c r="G724" s="2" t="str">
        <f>IFERROR((VLOOKUP(B724,SOE!F:G,2,FALSE)),"No probado")</f>
        <v>No probado</v>
      </c>
    </row>
    <row r="725" spans="7:7" x14ac:dyDescent="0.35">
      <c r="G725" s="2" t="str">
        <f>IFERROR((VLOOKUP(B725,SOE!F:G,2,FALSE)),"No probado")</f>
        <v>No probado</v>
      </c>
    </row>
    <row r="726" spans="7:7" x14ac:dyDescent="0.35">
      <c r="G726" s="2" t="str">
        <f>IFERROR((VLOOKUP(B726,SOE!F:G,2,FALSE)),"No probado")</f>
        <v>No probado</v>
      </c>
    </row>
    <row r="727" spans="7:7" x14ac:dyDescent="0.35">
      <c r="G727" s="2" t="str">
        <f>IFERROR((VLOOKUP(B727,SOE!F:G,2,FALSE)),"No probado")</f>
        <v>No probado</v>
      </c>
    </row>
    <row r="728" spans="7:7" x14ac:dyDescent="0.35">
      <c r="G728" s="2" t="str">
        <f>IFERROR((VLOOKUP(B728,SOE!F:G,2,FALSE)),"No probado")</f>
        <v>No probado</v>
      </c>
    </row>
    <row r="729" spans="7:7" x14ac:dyDescent="0.35">
      <c r="G729" s="2" t="str">
        <f>IFERROR((VLOOKUP(B729,SOE!F:G,2,FALSE)),"No probado")</f>
        <v>No probado</v>
      </c>
    </row>
    <row r="730" spans="7:7" x14ac:dyDescent="0.35">
      <c r="G730" s="2" t="str">
        <f>IFERROR((VLOOKUP(B730,SOE!F:G,2,FALSE)),"No probado")</f>
        <v>No probado</v>
      </c>
    </row>
    <row r="731" spans="7:7" x14ac:dyDescent="0.35">
      <c r="G731" s="2" t="str">
        <f>IFERROR((VLOOKUP(B731,SOE!F:G,2,FALSE)),"No probado")</f>
        <v>No probado</v>
      </c>
    </row>
    <row r="732" spans="7:7" x14ac:dyDescent="0.35">
      <c r="G732" s="2" t="str">
        <f>IFERROR((VLOOKUP(B732,SOE!F:G,2,FALSE)),"No probado")</f>
        <v>No probado</v>
      </c>
    </row>
    <row r="733" spans="7:7" x14ac:dyDescent="0.35">
      <c r="G733" s="2" t="str">
        <f>IFERROR((VLOOKUP(B733,SOE!F:G,2,FALSE)),"No probado")</f>
        <v>No probado</v>
      </c>
    </row>
    <row r="734" spans="7:7" x14ac:dyDescent="0.35">
      <c r="G734" s="2" t="str">
        <f>IFERROR((VLOOKUP(B734,SOE!F:G,2,FALSE)),"No probado")</f>
        <v>No probado</v>
      </c>
    </row>
    <row r="735" spans="7:7" x14ac:dyDescent="0.35">
      <c r="G735" s="2" t="str">
        <f>IFERROR((VLOOKUP(B735,SOE!F:G,2,FALSE)),"No probado")</f>
        <v>No probado</v>
      </c>
    </row>
    <row r="736" spans="7:7" x14ac:dyDescent="0.35">
      <c r="G736" s="2" t="str">
        <f>IFERROR((VLOOKUP(B736,SOE!F:G,2,FALSE)),"No probado")</f>
        <v>No probado</v>
      </c>
    </row>
    <row r="737" spans="7:7" x14ac:dyDescent="0.35">
      <c r="G737" s="2" t="str">
        <f>IFERROR((VLOOKUP(B737,SOE!F:G,2,FALSE)),"No probado")</f>
        <v>No probado</v>
      </c>
    </row>
    <row r="738" spans="7:7" x14ac:dyDescent="0.35">
      <c r="G738" s="2" t="str">
        <f>IFERROR((VLOOKUP(B738,SOE!F:G,2,FALSE)),"No probado")</f>
        <v>No probado</v>
      </c>
    </row>
    <row r="739" spans="7:7" x14ac:dyDescent="0.35">
      <c r="G739" s="2" t="str">
        <f>IFERROR((VLOOKUP(B739,SOE!F:G,2,FALSE)),"No probado")</f>
        <v>No probado</v>
      </c>
    </row>
    <row r="740" spans="7:7" x14ac:dyDescent="0.35">
      <c r="G740" s="2" t="str">
        <f>IFERROR((VLOOKUP(B740,SOE!F:G,2,FALSE)),"No probado")</f>
        <v>No probado</v>
      </c>
    </row>
    <row r="741" spans="7:7" x14ac:dyDescent="0.35">
      <c r="G741" s="2" t="str">
        <f>IFERROR((VLOOKUP(B741,SOE!F:G,2,FALSE)),"No probado")</f>
        <v>No probado</v>
      </c>
    </row>
    <row r="742" spans="7:7" x14ac:dyDescent="0.35">
      <c r="G742" s="2" t="str">
        <f>IFERROR((VLOOKUP(B742,SOE!F:G,2,FALSE)),"No probado")</f>
        <v>No probado</v>
      </c>
    </row>
    <row r="743" spans="7:7" x14ac:dyDescent="0.35">
      <c r="G743" s="2" t="str">
        <f>IFERROR((VLOOKUP(B743,SOE!F:G,2,FALSE)),"No probado")</f>
        <v>No probado</v>
      </c>
    </row>
    <row r="744" spans="7:7" x14ac:dyDescent="0.35">
      <c r="G744" s="2" t="str">
        <f>IFERROR((VLOOKUP(B744,SOE!F:G,2,FALSE)),"No probado")</f>
        <v>No probado</v>
      </c>
    </row>
    <row r="745" spans="7:7" x14ac:dyDescent="0.35">
      <c r="G745" s="2" t="str">
        <f>IFERROR((VLOOKUP(B745,SOE!F:G,2,FALSE)),"No probado")</f>
        <v>No probado</v>
      </c>
    </row>
    <row r="746" spans="7:7" x14ac:dyDescent="0.35">
      <c r="G746" s="2" t="str">
        <f>IFERROR((VLOOKUP(B746,SOE!F:G,2,FALSE)),"No probado")</f>
        <v>No probado</v>
      </c>
    </row>
    <row r="747" spans="7:7" x14ac:dyDescent="0.35">
      <c r="G747" s="2" t="str">
        <f>IFERROR((VLOOKUP(B747,SOE!F:G,2,FALSE)),"No probado")</f>
        <v>No probado</v>
      </c>
    </row>
    <row r="748" spans="7:7" x14ac:dyDescent="0.35">
      <c r="G748" s="2" t="str">
        <f>IFERROR((VLOOKUP(B748,SOE!F:G,2,FALSE)),"No probado")</f>
        <v>No probado</v>
      </c>
    </row>
    <row r="749" spans="7:7" x14ac:dyDescent="0.35">
      <c r="G749" s="2" t="str">
        <f>IFERROR((VLOOKUP(B749,SOE!F:G,2,FALSE)),"No probado")</f>
        <v>No probado</v>
      </c>
    </row>
    <row r="750" spans="7:7" x14ac:dyDescent="0.35">
      <c r="G750" s="2" t="str">
        <f>IFERROR((VLOOKUP(B750,SOE!F:G,2,FALSE)),"No probado")</f>
        <v>No probado</v>
      </c>
    </row>
    <row r="751" spans="7:7" x14ac:dyDescent="0.35">
      <c r="G751" s="2" t="str">
        <f>IFERROR((VLOOKUP(B751,SOE!F:G,2,FALSE)),"No probado")</f>
        <v>No probado</v>
      </c>
    </row>
    <row r="752" spans="7:7" x14ac:dyDescent="0.35">
      <c r="G752" s="2" t="str">
        <f>IFERROR((VLOOKUP(B752,SOE!F:G,2,FALSE)),"No probado")</f>
        <v>No probado</v>
      </c>
    </row>
    <row r="753" spans="7:7" x14ac:dyDescent="0.35">
      <c r="G753" s="2" t="str">
        <f>IFERROR((VLOOKUP(B753,SOE!F:G,2,FALSE)),"No probado")</f>
        <v>No probado</v>
      </c>
    </row>
    <row r="754" spans="7:7" x14ac:dyDescent="0.35">
      <c r="G754" s="2" t="str">
        <f>IFERROR((VLOOKUP(B754,SOE!F:G,2,FALSE)),"No probado")</f>
        <v>No probado</v>
      </c>
    </row>
    <row r="755" spans="7:7" x14ac:dyDescent="0.35">
      <c r="G755" s="2" t="str">
        <f>IFERROR((VLOOKUP(B755,SOE!F:G,2,FALSE)),"No probado")</f>
        <v>No probado</v>
      </c>
    </row>
    <row r="756" spans="7:7" x14ac:dyDescent="0.35">
      <c r="G756" s="2" t="str">
        <f>IFERROR((VLOOKUP(B756,SOE!F:G,2,FALSE)),"No probado")</f>
        <v>No probado</v>
      </c>
    </row>
    <row r="757" spans="7:7" x14ac:dyDescent="0.35">
      <c r="G757" s="2" t="str">
        <f>IFERROR((VLOOKUP(B757,SOE!F:G,2,FALSE)),"No probado")</f>
        <v>No probado</v>
      </c>
    </row>
    <row r="758" spans="7:7" x14ac:dyDescent="0.35">
      <c r="G758" s="2" t="str">
        <f>IFERROR((VLOOKUP(B758,SOE!F:G,2,FALSE)),"No probado")</f>
        <v>No probado</v>
      </c>
    </row>
    <row r="759" spans="7:7" x14ac:dyDescent="0.35">
      <c r="G759" s="2" t="str">
        <f>IFERROR((VLOOKUP(B759,SOE!F:G,2,FALSE)),"No probado")</f>
        <v>No probado</v>
      </c>
    </row>
    <row r="760" spans="7:7" x14ac:dyDescent="0.35">
      <c r="G760" s="2" t="str">
        <f>IFERROR((VLOOKUP(B760,SOE!F:G,2,FALSE)),"No probado")</f>
        <v>No probado</v>
      </c>
    </row>
    <row r="761" spans="7:7" x14ac:dyDescent="0.35">
      <c r="G761" s="2" t="str">
        <f>IFERROR((VLOOKUP(B761,SOE!F:G,2,FALSE)),"No probado")</f>
        <v>No probado</v>
      </c>
    </row>
    <row r="762" spans="7:7" x14ac:dyDescent="0.35">
      <c r="G762" s="2" t="str">
        <f>IFERROR((VLOOKUP(B762,SOE!F:G,2,FALSE)),"No probado")</f>
        <v>No probado</v>
      </c>
    </row>
    <row r="763" spans="7:7" x14ac:dyDescent="0.35">
      <c r="G763" s="2" t="str">
        <f>IFERROR((VLOOKUP(B763,SOE!F:G,2,FALSE)),"No probado")</f>
        <v>No probado</v>
      </c>
    </row>
    <row r="764" spans="7:7" x14ac:dyDescent="0.35">
      <c r="G764" s="2" t="str">
        <f>IFERROR((VLOOKUP(B764,SOE!F:G,2,FALSE)),"No probado")</f>
        <v>No probado</v>
      </c>
    </row>
    <row r="765" spans="7:7" x14ac:dyDescent="0.35">
      <c r="G765" s="2" t="str">
        <f>IFERROR((VLOOKUP(B765,SOE!F:G,2,FALSE)),"No probado")</f>
        <v>No probado</v>
      </c>
    </row>
    <row r="766" spans="7:7" x14ac:dyDescent="0.35">
      <c r="G766" s="2" t="str">
        <f>IFERROR((VLOOKUP(B766,SOE!F:G,2,FALSE)),"No probado")</f>
        <v>No probado</v>
      </c>
    </row>
    <row r="767" spans="7:7" x14ac:dyDescent="0.35">
      <c r="G767" s="2" t="str">
        <f>IFERROR((VLOOKUP(B767,SOE!F:G,2,FALSE)),"No probado")</f>
        <v>No probado</v>
      </c>
    </row>
    <row r="768" spans="7:7" x14ac:dyDescent="0.35">
      <c r="G768" s="2" t="str">
        <f>IFERROR((VLOOKUP(B768,SOE!F:G,2,FALSE)),"No probado")</f>
        <v>No probado</v>
      </c>
    </row>
    <row r="769" spans="7:7" x14ac:dyDescent="0.35">
      <c r="G769" s="2" t="str">
        <f>IFERROR((VLOOKUP(B769,SOE!F:G,2,FALSE)),"No probado")</f>
        <v>No probado</v>
      </c>
    </row>
    <row r="770" spans="7:7" x14ac:dyDescent="0.35">
      <c r="G770" s="2" t="str">
        <f>IFERROR((VLOOKUP(B770,SOE!F:G,2,FALSE)),"No probado")</f>
        <v>No probado</v>
      </c>
    </row>
    <row r="771" spans="7:7" x14ac:dyDescent="0.35">
      <c r="G771" s="2" t="str">
        <f>IFERROR((VLOOKUP(B771,SOE!F:G,2,FALSE)),"No probado")</f>
        <v>No probado</v>
      </c>
    </row>
    <row r="772" spans="7:7" x14ac:dyDescent="0.35">
      <c r="G772" s="2" t="str">
        <f>IFERROR((VLOOKUP(B772,SOE!F:G,2,FALSE)),"No probado")</f>
        <v>No probado</v>
      </c>
    </row>
    <row r="773" spans="7:7" x14ac:dyDescent="0.35">
      <c r="G773" s="2" t="str">
        <f>IFERROR((VLOOKUP(B773,SOE!F:G,2,FALSE)),"No probado")</f>
        <v>No probado</v>
      </c>
    </row>
    <row r="774" spans="7:7" x14ac:dyDescent="0.35">
      <c r="G774" s="2" t="str">
        <f>IFERROR((VLOOKUP(B774,SOE!F:G,2,FALSE)),"No probado")</f>
        <v>No probado</v>
      </c>
    </row>
    <row r="775" spans="7:7" x14ac:dyDescent="0.35">
      <c r="G775" s="2" t="str">
        <f>IFERROR((VLOOKUP(B775,SOE!F:G,2,FALSE)),"No probado")</f>
        <v>No probado</v>
      </c>
    </row>
    <row r="776" spans="7:7" x14ac:dyDescent="0.35">
      <c r="G776" s="2" t="str">
        <f>IFERROR((VLOOKUP(B776,SOE!F:G,2,FALSE)),"No probado")</f>
        <v>No probado</v>
      </c>
    </row>
    <row r="777" spans="7:7" x14ac:dyDescent="0.35">
      <c r="G777" s="2" t="str">
        <f>IFERROR((VLOOKUP(B777,SOE!F:G,2,FALSE)),"No probado")</f>
        <v>No probado</v>
      </c>
    </row>
    <row r="778" spans="7:7" x14ac:dyDescent="0.35">
      <c r="G778" s="2" t="str">
        <f>IFERROR((VLOOKUP(B778,SOE!F:G,2,FALSE)),"No probado")</f>
        <v>No probado</v>
      </c>
    </row>
    <row r="779" spans="7:7" x14ac:dyDescent="0.35">
      <c r="G779" s="2" t="str">
        <f>IFERROR((VLOOKUP(B779,SOE!F:G,2,FALSE)),"No probado")</f>
        <v>No probado</v>
      </c>
    </row>
    <row r="780" spans="7:7" x14ac:dyDescent="0.35">
      <c r="G780" s="2" t="str">
        <f>IFERROR((VLOOKUP(B780,SOE!F:G,2,FALSE)),"No probado")</f>
        <v>No probado</v>
      </c>
    </row>
    <row r="781" spans="7:7" x14ac:dyDescent="0.35">
      <c r="G781" s="2" t="str">
        <f>IFERROR((VLOOKUP(B781,SOE!F:G,2,FALSE)),"No probado")</f>
        <v>No probado</v>
      </c>
    </row>
    <row r="782" spans="7:7" x14ac:dyDescent="0.35">
      <c r="G782" s="2" t="str">
        <f>IFERROR((VLOOKUP(B782,SOE!F:G,2,FALSE)),"No probado")</f>
        <v>No probado</v>
      </c>
    </row>
    <row r="783" spans="7:7" x14ac:dyDescent="0.35">
      <c r="G783" s="2" t="str">
        <f>IFERROR((VLOOKUP(B783,SOE!F:G,2,FALSE)),"No probado")</f>
        <v>No probado</v>
      </c>
    </row>
    <row r="784" spans="7:7" x14ac:dyDescent="0.35">
      <c r="G784" s="2" t="str">
        <f>IFERROR((VLOOKUP(B784,SOE!F:G,2,FALSE)),"No probado")</f>
        <v>No probado</v>
      </c>
    </row>
    <row r="785" spans="7:7" x14ac:dyDescent="0.35">
      <c r="G785" s="2" t="str">
        <f>IFERROR((VLOOKUP(B785,SOE!F:G,2,FALSE)),"No probado")</f>
        <v>No probado</v>
      </c>
    </row>
    <row r="786" spans="7:7" x14ac:dyDescent="0.35">
      <c r="G786" s="2" t="str">
        <f>IFERROR((VLOOKUP(B786,SOE!F:G,2,FALSE)),"No probado")</f>
        <v>No probado</v>
      </c>
    </row>
    <row r="787" spans="7:7" x14ac:dyDescent="0.35">
      <c r="G787" s="2" t="str">
        <f>IFERROR((VLOOKUP(B787,SOE!F:G,2,FALSE)),"No probado")</f>
        <v>No probado</v>
      </c>
    </row>
    <row r="788" spans="7:7" x14ac:dyDescent="0.35">
      <c r="G788" s="2" t="str">
        <f>IFERROR((VLOOKUP(B788,SOE!F:G,2,FALSE)),"No probado")</f>
        <v>No probado</v>
      </c>
    </row>
    <row r="789" spans="7:7" x14ac:dyDescent="0.35">
      <c r="G789" s="2" t="str">
        <f>IFERROR((VLOOKUP(B789,SOE!F:G,2,FALSE)),"No probado")</f>
        <v>No probado</v>
      </c>
    </row>
    <row r="790" spans="7:7" x14ac:dyDescent="0.35">
      <c r="G790" s="2" t="str">
        <f>IFERROR((VLOOKUP(B790,SOE!F:G,2,FALSE)),"No probado")</f>
        <v>No probado</v>
      </c>
    </row>
    <row r="791" spans="7:7" x14ac:dyDescent="0.35">
      <c r="G791" s="2" t="str">
        <f>IFERROR((VLOOKUP(B791,SOE!F:G,2,FALSE)),"No probado")</f>
        <v>No probado</v>
      </c>
    </row>
    <row r="792" spans="7:7" x14ac:dyDescent="0.35">
      <c r="G792" s="2" t="str">
        <f>IFERROR((VLOOKUP(B792,SOE!F:G,2,FALSE)),"No probado")</f>
        <v>No probado</v>
      </c>
    </row>
    <row r="793" spans="7:7" x14ac:dyDescent="0.35">
      <c r="G793" s="2" t="str">
        <f>IFERROR((VLOOKUP(B793,SOE!F:G,2,FALSE)),"No probado")</f>
        <v>No probado</v>
      </c>
    </row>
    <row r="794" spans="7:7" x14ac:dyDescent="0.35">
      <c r="G794" s="2" t="str">
        <f>IFERROR((VLOOKUP(B794,SOE!F:G,2,FALSE)),"No probado")</f>
        <v>No probado</v>
      </c>
    </row>
    <row r="795" spans="7:7" x14ac:dyDescent="0.35">
      <c r="G795" s="2" t="str">
        <f>IFERROR((VLOOKUP(B795,SOE!F:G,2,FALSE)),"No probado")</f>
        <v>No probado</v>
      </c>
    </row>
    <row r="796" spans="7:7" x14ac:dyDescent="0.35">
      <c r="G796" s="2" t="str">
        <f>IFERROR((VLOOKUP(B796,SOE!F:G,2,FALSE)),"No probado")</f>
        <v>No probado</v>
      </c>
    </row>
    <row r="797" spans="7:7" x14ac:dyDescent="0.35">
      <c r="G797" s="2" t="str">
        <f>IFERROR((VLOOKUP(B797,SOE!F:G,2,FALSE)),"No probado")</f>
        <v>No probado</v>
      </c>
    </row>
    <row r="798" spans="7:7" x14ac:dyDescent="0.35">
      <c r="G798" s="2" t="str">
        <f>IFERROR((VLOOKUP(B798,SOE!F:G,2,FALSE)),"No probado")</f>
        <v>No probado</v>
      </c>
    </row>
    <row r="799" spans="7:7" x14ac:dyDescent="0.35">
      <c r="G799" s="2" t="str">
        <f>IFERROR((VLOOKUP(B799,SOE!F:G,2,FALSE)),"No probado")</f>
        <v>No probado</v>
      </c>
    </row>
    <row r="800" spans="7:7" x14ac:dyDescent="0.35">
      <c r="G800" s="2" t="str">
        <f>IFERROR((VLOOKUP(B800,SOE!F:G,2,FALSE)),"No probado")</f>
        <v>No probado</v>
      </c>
    </row>
    <row r="801" spans="7:7" x14ac:dyDescent="0.35">
      <c r="G801" s="2" t="str">
        <f>IFERROR((VLOOKUP(B801,SOE!F:G,2,FALSE)),"No probado")</f>
        <v>No probado</v>
      </c>
    </row>
    <row r="802" spans="7:7" x14ac:dyDescent="0.35">
      <c r="G802" s="2" t="str">
        <f>IFERROR((VLOOKUP(B802,SOE!F:G,2,FALSE)),"No probado")</f>
        <v>No probado</v>
      </c>
    </row>
    <row r="803" spans="7:7" x14ac:dyDescent="0.35">
      <c r="G803" s="2" t="str">
        <f>IFERROR((VLOOKUP(B803,SOE!F:G,2,FALSE)),"No probado")</f>
        <v>No probado</v>
      </c>
    </row>
    <row r="804" spans="7:7" x14ac:dyDescent="0.35">
      <c r="G804" s="2" t="str">
        <f>IFERROR((VLOOKUP(B804,SOE!F:G,2,FALSE)),"No probado")</f>
        <v>No probado</v>
      </c>
    </row>
    <row r="805" spans="7:7" x14ac:dyDescent="0.35">
      <c r="G805" s="2" t="str">
        <f>IFERROR((VLOOKUP(B805,SOE!F:G,2,FALSE)),"No probado")</f>
        <v>No probado</v>
      </c>
    </row>
    <row r="806" spans="7:7" x14ac:dyDescent="0.35">
      <c r="G806" s="2" t="str">
        <f>IFERROR((VLOOKUP(B806,SOE!F:G,2,FALSE)),"No probado")</f>
        <v>No probado</v>
      </c>
    </row>
    <row r="807" spans="7:7" x14ac:dyDescent="0.35">
      <c r="G807" s="2" t="str">
        <f>IFERROR((VLOOKUP(B807,SOE!F:G,2,FALSE)),"No probado")</f>
        <v>No probado</v>
      </c>
    </row>
    <row r="808" spans="7:7" x14ac:dyDescent="0.35">
      <c r="G808" s="2" t="str">
        <f>IFERROR((VLOOKUP(B808,SOE!F:G,2,FALSE)),"No probado")</f>
        <v>No probado</v>
      </c>
    </row>
    <row r="809" spans="7:7" x14ac:dyDescent="0.35">
      <c r="G809" s="2" t="str">
        <f>IFERROR((VLOOKUP(B809,SOE!F:G,2,FALSE)),"No probado")</f>
        <v>No probado</v>
      </c>
    </row>
    <row r="810" spans="7:7" x14ac:dyDescent="0.35">
      <c r="G810" s="2" t="str">
        <f>IFERROR((VLOOKUP(B810,SOE!F:G,2,FALSE)),"No probado")</f>
        <v>No probado</v>
      </c>
    </row>
    <row r="811" spans="7:7" x14ac:dyDescent="0.35">
      <c r="G811" s="2" t="str">
        <f>IFERROR((VLOOKUP(B811,SOE!F:G,2,FALSE)),"No probado")</f>
        <v>No probado</v>
      </c>
    </row>
    <row r="812" spans="7:7" x14ac:dyDescent="0.35">
      <c r="G812" s="2" t="str">
        <f>IFERROR((VLOOKUP(B812,SOE!F:G,2,FALSE)),"No probado")</f>
        <v>No probado</v>
      </c>
    </row>
    <row r="813" spans="7:7" x14ac:dyDescent="0.35">
      <c r="G813" s="2" t="str">
        <f>IFERROR((VLOOKUP(B813,SOE!F:G,2,FALSE)),"No probado")</f>
        <v>No probado</v>
      </c>
    </row>
    <row r="814" spans="7:7" x14ac:dyDescent="0.35">
      <c r="G814" s="2" t="str">
        <f>IFERROR((VLOOKUP(B814,SOE!F:G,2,FALSE)),"No probado")</f>
        <v>No probado</v>
      </c>
    </row>
    <row r="815" spans="7:7" x14ac:dyDescent="0.35">
      <c r="G815" s="2" t="str">
        <f>IFERROR((VLOOKUP(B815,SOE!F:G,2,FALSE)),"No probado")</f>
        <v>No probado</v>
      </c>
    </row>
    <row r="816" spans="7:7" x14ac:dyDescent="0.35">
      <c r="G816" s="2" t="str">
        <f>IFERROR((VLOOKUP(B816,SOE!F:G,2,FALSE)),"No probado")</f>
        <v>No probado</v>
      </c>
    </row>
    <row r="817" spans="7:7" x14ac:dyDescent="0.35">
      <c r="G817" s="2" t="str">
        <f>IFERROR((VLOOKUP(B817,SOE!F:G,2,FALSE)),"No probado")</f>
        <v>No probado</v>
      </c>
    </row>
    <row r="818" spans="7:7" x14ac:dyDescent="0.35">
      <c r="G818" s="2" t="str">
        <f>IFERROR((VLOOKUP(B818,SOE!F:G,2,FALSE)),"No probado")</f>
        <v>No probado</v>
      </c>
    </row>
    <row r="819" spans="7:7" x14ac:dyDescent="0.35">
      <c r="G819" s="2" t="str">
        <f>IFERROR((VLOOKUP(B819,SOE!F:G,2,FALSE)),"No probado")</f>
        <v>No probado</v>
      </c>
    </row>
    <row r="820" spans="7:7" x14ac:dyDescent="0.35">
      <c r="G820" s="2" t="str">
        <f>IFERROR((VLOOKUP(B820,SOE!F:G,2,FALSE)),"No probado")</f>
        <v>No probado</v>
      </c>
    </row>
    <row r="821" spans="7:7" x14ac:dyDescent="0.35">
      <c r="G821" s="2" t="str">
        <f>IFERROR((VLOOKUP(B821,SOE!F:G,2,FALSE)),"No probado")</f>
        <v>No probado</v>
      </c>
    </row>
    <row r="822" spans="7:7" x14ac:dyDescent="0.35">
      <c r="G822" s="2" t="str">
        <f>IFERROR((VLOOKUP(B822,SOE!F:G,2,FALSE)),"No probado")</f>
        <v>No probado</v>
      </c>
    </row>
    <row r="823" spans="7:7" x14ac:dyDescent="0.35">
      <c r="G823" s="2" t="str">
        <f>IFERROR((VLOOKUP(B823,SOE!F:G,2,FALSE)),"No probado")</f>
        <v>No probado</v>
      </c>
    </row>
    <row r="824" spans="7:7" x14ac:dyDescent="0.35">
      <c r="G824" s="2" t="str">
        <f>IFERROR((VLOOKUP(B824,SOE!F:G,2,FALSE)),"No probado")</f>
        <v>No probado</v>
      </c>
    </row>
    <row r="825" spans="7:7" x14ac:dyDescent="0.35">
      <c r="G825" s="2" t="str">
        <f>IFERROR((VLOOKUP(B825,SOE!F:G,2,FALSE)),"No probado")</f>
        <v>No probado</v>
      </c>
    </row>
    <row r="826" spans="7:7" x14ac:dyDescent="0.35">
      <c r="G826" s="2" t="str">
        <f>IFERROR((VLOOKUP(B826,SOE!F:G,2,FALSE)),"No probado")</f>
        <v>No probado</v>
      </c>
    </row>
    <row r="827" spans="7:7" x14ac:dyDescent="0.35">
      <c r="G827" s="2" t="str">
        <f>IFERROR((VLOOKUP(B827,SOE!F:G,2,FALSE)),"No probado")</f>
        <v>No probado</v>
      </c>
    </row>
    <row r="828" spans="7:7" x14ac:dyDescent="0.35">
      <c r="G828" s="2" t="str">
        <f>IFERROR((VLOOKUP(B828,SOE!F:G,2,FALSE)),"No probado")</f>
        <v>No probado</v>
      </c>
    </row>
    <row r="829" spans="7:7" x14ac:dyDescent="0.35">
      <c r="G829" s="2" t="str">
        <f>IFERROR((VLOOKUP(B829,SOE!F:G,2,FALSE)),"No probado")</f>
        <v>No probado</v>
      </c>
    </row>
    <row r="830" spans="7:7" x14ac:dyDescent="0.35">
      <c r="G830" s="2" t="str">
        <f>IFERROR((VLOOKUP(B830,SOE!F:G,2,FALSE)),"No probado")</f>
        <v>No probado</v>
      </c>
    </row>
    <row r="831" spans="7:7" x14ac:dyDescent="0.35">
      <c r="G831" s="2" t="str">
        <f>IFERROR((VLOOKUP(B831,SOE!F:G,2,FALSE)),"No probado")</f>
        <v>No probado</v>
      </c>
    </row>
    <row r="832" spans="7:7" x14ac:dyDescent="0.35">
      <c r="G832" s="2" t="str">
        <f>IFERROR((VLOOKUP(B832,SOE!F:G,2,FALSE)),"No probado")</f>
        <v>No probado</v>
      </c>
    </row>
    <row r="833" spans="7:7" x14ac:dyDescent="0.35">
      <c r="G833" s="2" t="str">
        <f>IFERROR((VLOOKUP(B833,SOE!F:G,2,FALSE)),"No probado")</f>
        <v>No probado</v>
      </c>
    </row>
    <row r="834" spans="7:7" x14ac:dyDescent="0.35">
      <c r="G834" s="2" t="str">
        <f>IFERROR((VLOOKUP(B834,SOE!F:G,2,FALSE)),"No probado")</f>
        <v>No probado</v>
      </c>
    </row>
    <row r="835" spans="7:7" x14ac:dyDescent="0.35">
      <c r="G835" s="2" t="str">
        <f>IFERROR((VLOOKUP(B835,SOE!F:G,2,FALSE)),"No probado")</f>
        <v>No probado</v>
      </c>
    </row>
    <row r="836" spans="7:7" x14ac:dyDescent="0.35">
      <c r="G836" s="2" t="str">
        <f>IFERROR((VLOOKUP(B836,SOE!F:G,2,FALSE)),"No probado")</f>
        <v>No probado</v>
      </c>
    </row>
    <row r="837" spans="7:7" x14ac:dyDescent="0.35">
      <c r="G837" s="2" t="str">
        <f>IFERROR((VLOOKUP(B837,SOE!F:G,2,FALSE)),"No probado")</f>
        <v>No probado</v>
      </c>
    </row>
    <row r="838" spans="7:7" x14ac:dyDescent="0.35">
      <c r="G838" s="2" t="str">
        <f>IFERROR((VLOOKUP(B838,SOE!F:G,2,FALSE)),"No probado")</f>
        <v>No probado</v>
      </c>
    </row>
    <row r="839" spans="7:7" x14ac:dyDescent="0.35">
      <c r="G839" s="2" t="str">
        <f>IFERROR((VLOOKUP(B839,SOE!F:G,2,FALSE)),"No probado")</f>
        <v>No probado</v>
      </c>
    </row>
    <row r="840" spans="7:7" x14ac:dyDescent="0.35">
      <c r="G840" s="2" t="str">
        <f>IFERROR((VLOOKUP(B840,SOE!F:G,2,FALSE)),"No probado")</f>
        <v>No probado</v>
      </c>
    </row>
    <row r="841" spans="7:7" x14ac:dyDescent="0.35">
      <c r="G841" s="2" t="str">
        <f>IFERROR((VLOOKUP(B841,SOE!F:G,2,FALSE)),"No probado")</f>
        <v>No probado</v>
      </c>
    </row>
    <row r="842" spans="7:7" x14ac:dyDescent="0.35">
      <c r="G842" s="2" t="str">
        <f>IFERROR((VLOOKUP(B842,SOE!F:G,2,FALSE)),"No probado")</f>
        <v>No probado</v>
      </c>
    </row>
    <row r="843" spans="7:7" x14ac:dyDescent="0.35">
      <c r="G843" s="2" t="str">
        <f>IFERROR((VLOOKUP(B843,SOE!F:G,2,FALSE)),"No probado")</f>
        <v>No probado</v>
      </c>
    </row>
    <row r="844" spans="7:7" x14ac:dyDescent="0.35">
      <c r="G844" s="2" t="str">
        <f>IFERROR((VLOOKUP(B844,SOE!F:G,2,FALSE)),"No probado")</f>
        <v>No probado</v>
      </c>
    </row>
    <row r="845" spans="7:7" x14ac:dyDescent="0.35">
      <c r="G845" s="2" t="str">
        <f>IFERROR((VLOOKUP(B845,SOE!F:G,2,FALSE)),"No probado")</f>
        <v>No probado</v>
      </c>
    </row>
    <row r="846" spans="7:7" x14ac:dyDescent="0.35">
      <c r="G846" s="2" t="str">
        <f>IFERROR((VLOOKUP(B846,SOE!F:G,2,FALSE)),"No probado")</f>
        <v>No probado</v>
      </c>
    </row>
    <row r="847" spans="7:7" x14ac:dyDescent="0.35">
      <c r="G847" s="2" t="str">
        <f>IFERROR((VLOOKUP(B847,SOE!F:G,2,FALSE)),"No probado")</f>
        <v>No probado</v>
      </c>
    </row>
    <row r="848" spans="7:7" x14ac:dyDescent="0.35">
      <c r="G848" s="2" t="str">
        <f>IFERROR((VLOOKUP(B848,SOE!F:G,2,FALSE)),"No probado")</f>
        <v>No probado</v>
      </c>
    </row>
    <row r="849" spans="7:7" x14ac:dyDescent="0.35">
      <c r="G849" s="2" t="str">
        <f>IFERROR((VLOOKUP(B849,SOE!F:G,2,FALSE)),"No probado")</f>
        <v>No probado</v>
      </c>
    </row>
    <row r="850" spans="7:7" x14ac:dyDescent="0.35">
      <c r="G850" s="2" t="str">
        <f>IFERROR((VLOOKUP(B850,SOE!F:G,2,FALSE)),"No probado")</f>
        <v>No probado</v>
      </c>
    </row>
    <row r="851" spans="7:7" x14ac:dyDescent="0.35">
      <c r="G851" s="2" t="str">
        <f>IFERROR((VLOOKUP(B851,SOE!F:G,2,FALSE)),"No probado")</f>
        <v>No probado</v>
      </c>
    </row>
    <row r="852" spans="7:7" x14ac:dyDescent="0.35">
      <c r="G852" s="2" t="str">
        <f>IFERROR((VLOOKUP(B852,SOE!F:G,2,FALSE)),"No probado")</f>
        <v>No probado</v>
      </c>
    </row>
    <row r="853" spans="7:7" x14ac:dyDescent="0.35">
      <c r="G853" s="2" t="str">
        <f>IFERROR((VLOOKUP(B853,SOE!F:G,2,FALSE)),"No probado")</f>
        <v>No probado</v>
      </c>
    </row>
    <row r="854" spans="7:7" x14ac:dyDescent="0.35">
      <c r="G854" s="2" t="str">
        <f>IFERROR((VLOOKUP(B854,SOE!F:G,2,FALSE)),"No probado")</f>
        <v>No probado</v>
      </c>
    </row>
    <row r="855" spans="7:7" x14ac:dyDescent="0.35">
      <c r="G855" s="2" t="str">
        <f>IFERROR((VLOOKUP(B855,SOE!F:G,2,FALSE)),"No probado")</f>
        <v>No probado</v>
      </c>
    </row>
    <row r="856" spans="7:7" x14ac:dyDescent="0.35">
      <c r="G856" s="2" t="str">
        <f>IFERROR((VLOOKUP(B856,SOE!F:G,2,FALSE)),"No probado")</f>
        <v>No probado</v>
      </c>
    </row>
    <row r="857" spans="7:7" x14ac:dyDescent="0.35">
      <c r="G857" s="2" t="str">
        <f>IFERROR((VLOOKUP(B857,SOE!F:G,2,FALSE)),"No probado")</f>
        <v>No probado</v>
      </c>
    </row>
    <row r="858" spans="7:7" x14ac:dyDescent="0.35">
      <c r="G858" s="2" t="str">
        <f>IFERROR((VLOOKUP(B858,SOE!F:G,2,FALSE)),"No probado")</f>
        <v>No probado</v>
      </c>
    </row>
    <row r="859" spans="7:7" x14ac:dyDescent="0.35">
      <c r="G859" s="2" t="str">
        <f>IFERROR((VLOOKUP(B859,SOE!F:G,2,FALSE)),"No probado")</f>
        <v>No probado</v>
      </c>
    </row>
    <row r="860" spans="7:7" x14ac:dyDescent="0.35">
      <c r="G860" s="2" t="str">
        <f>IFERROR((VLOOKUP(B860,SOE!F:G,2,FALSE)),"No probado")</f>
        <v>No probado</v>
      </c>
    </row>
    <row r="861" spans="7:7" x14ac:dyDescent="0.35">
      <c r="G861" s="2" t="str">
        <f>IFERROR((VLOOKUP(B861,SOE!F:G,2,FALSE)),"No probado")</f>
        <v>No probado</v>
      </c>
    </row>
    <row r="862" spans="7:7" x14ac:dyDescent="0.35">
      <c r="G862" s="2" t="str">
        <f>IFERROR((VLOOKUP(B862,SOE!F:G,2,FALSE)),"No probado")</f>
        <v>No probado</v>
      </c>
    </row>
    <row r="863" spans="7:7" x14ac:dyDescent="0.35">
      <c r="G863" s="2" t="str">
        <f>IFERROR((VLOOKUP(B863,SOE!F:G,2,FALSE)),"No probado")</f>
        <v>No probado</v>
      </c>
    </row>
    <row r="864" spans="7:7" x14ac:dyDescent="0.35">
      <c r="G864" s="2" t="str">
        <f>IFERROR((VLOOKUP(B864,SOE!F:G,2,FALSE)),"No probado")</f>
        <v>No probado</v>
      </c>
    </row>
    <row r="865" spans="7:7" x14ac:dyDescent="0.35">
      <c r="G865" s="2" t="str">
        <f>IFERROR((VLOOKUP(B865,SOE!F:G,2,FALSE)),"No probado")</f>
        <v>No probado</v>
      </c>
    </row>
    <row r="866" spans="7:7" x14ac:dyDescent="0.35">
      <c r="G866" s="2" t="str">
        <f>IFERROR((VLOOKUP(B866,SOE!F:G,2,FALSE)),"No probado")</f>
        <v>No probado</v>
      </c>
    </row>
    <row r="867" spans="7:7" x14ac:dyDescent="0.35">
      <c r="G867" s="2" t="str">
        <f>IFERROR((VLOOKUP(B867,SOE!F:G,2,FALSE)),"No probado")</f>
        <v>No probado</v>
      </c>
    </row>
    <row r="868" spans="7:7" x14ac:dyDescent="0.35">
      <c r="G868" s="2" t="str">
        <f>IFERROR((VLOOKUP(B868,SOE!F:G,2,FALSE)),"No probado")</f>
        <v>No probado</v>
      </c>
    </row>
    <row r="869" spans="7:7" x14ac:dyDescent="0.35">
      <c r="G869" s="2" t="str">
        <f>IFERROR((VLOOKUP(B869,SOE!F:G,2,FALSE)),"No probado")</f>
        <v>No probado</v>
      </c>
    </row>
    <row r="870" spans="7:7" x14ac:dyDescent="0.35">
      <c r="G870" s="2" t="str">
        <f>IFERROR((VLOOKUP(B870,SOE!F:G,2,FALSE)),"No probado")</f>
        <v>No probado</v>
      </c>
    </row>
    <row r="871" spans="7:7" x14ac:dyDescent="0.35">
      <c r="G871" s="2" t="str">
        <f>IFERROR((VLOOKUP(B871,SOE!F:G,2,FALSE)),"No probado")</f>
        <v>No probado</v>
      </c>
    </row>
    <row r="872" spans="7:7" x14ac:dyDescent="0.35">
      <c r="G872" s="2" t="str">
        <f>IFERROR((VLOOKUP(B872,SOE!F:G,2,FALSE)),"No probado")</f>
        <v>No probado</v>
      </c>
    </row>
    <row r="873" spans="7:7" x14ac:dyDescent="0.35">
      <c r="G873" s="2" t="str">
        <f>IFERROR((VLOOKUP(B873,SOE!F:G,2,FALSE)),"No probado")</f>
        <v>No probado</v>
      </c>
    </row>
    <row r="874" spans="7:7" x14ac:dyDescent="0.35">
      <c r="G874" s="2" t="str">
        <f>IFERROR((VLOOKUP(B874,SOE!F:G,2,FALSE)),"No probado")</f>
        <v>No probado</v>
      </c>
    </row>
    <row r="875" spans="7:7" x14ac:dyDescent="0.35">
      <c r="G875" s="2" t="str">
        <f>IFERROR((VLOOKUP(B875,SOE!F:G,2,FALSE)),"No probado")</f>
        <v>No probado</v>
      </c>
    </row>
    <row r="876" spans="7:7" x14ac:dyDescent="0.35">
      <c r="G876" s="2" t="str">
        <f>IFERROR((VLOOKUP(B876,SOE!F:G,2,FALSE)),"No probado")</f>
        <v>No probado</v>
      </c>
    </row>
    <row r="877" spans="7:7" x14ac:dyDescent="0.35">
      <c r="G877" s="2" t="str">
        <f>IFERROR((VLOOKUP(B877,SOE!F:G,2,FALSE)),"No probado")</f>
        <v>No probado</v>
      </c>
    </row>
    <row r="878" spans="7:7" x14ac:dyDescent="0.35">
      <c r="G878" s="2" t="str">
        <f>IFERROR((VLOOKUP(B878,SOE!F:G,2,FALSE)),"No probado")</f>
        <v>No probado</v>
      </c>
    </row>
    <row r="879" spans="7:7" x14ac:dyDescent="0.35">
      <c r="G879" s="2" t="str">
        <f>IFERROR((VLOOKUP(B879,SOE!F:G,2,FALSE)),"No probado")</f>
        <v>No probado</v>
      </c>
    </row>
    <row r="880" spans="7:7" x14ac:dyDescent="0.35">
      <c r="G880" s="2" t="str">
        <f>IFERROR((VLOOKUP(B880,SOE!F:G,2,FALSE)),"No probado")</f>
        <v>No probado</v>
      </c>
    </row>
    <row r="881" spans="7:7" x14ac:dyDescent="0.35">
      <c r="G881" s="2" t="str">
        <f>IFERROR((VLOOKUP(B881,SOE!F:G,2,FALSE)),"No probado")</f>
        <v>No probado</v>
      </c>
    </row>
    <row r="882" spans="7:7" x14ac:dyDescent="0.35">
      <c r="G882" s="2" t="str">
        <f>IFERROR((VLOOKUP(B882,SOE!F:G,2,FALSE)),"No probado")</f>
        <v>No probado</v>
      </c>
    </row>
    <row r="883" spans="7:7" x14ac:dyDescent="0.35">
      <c r="G883" s="2" t="str">
        <f>IFERROR((VLOOKUP(B883,SOE!F:G,2,FALSE)),"No probado")</f>
        <v>No probado</v>
      </c>
    </row>
    <row r="884" spans="7:7" x14ac:dyDescent="0.35">
      <c r="G884" s="2" t="str">
        <f>IFERROR((VLOOKUP(B884,SOE!F:G,2,FALSE)),"No probado")</f>
        <v>No probado</v>
      </c>
    </row>
    <row r="885" spans="7:7" x14ac:dyDescent="0.35">
      <c r="G885" s="2" t="str">
        <f>IFERROR((VLOOKUP(B885,SOE!F:G,2,FALSE)),"No probado")</f>
        <v>No probado</v>
      </c>
    </row>
    <row r="886" spans="7:7" x14ac:dyDescent="0.35">
      <c r="G886" s="2" t="str">
        <f>IFERROR((VLOOKUP(B886,SOE!F:G,2,FALSE)),"No probado")</f>
        <v>No probado</v>
      </c>
    </row>
    <row r="887" spans="7:7" x14ac:dyDescent="0.35">
      <c r="G887" s="2" t="str">
        <f>IFERROR((VLOOKUP(B887,SOE!F:G,2,FALSE)),"No probado")</f>
        <v>No probado</v>
      </c>
    </row>
    <row r="888" spans="7:7" x14ac:dyDescent="0.35">
      <c r="G888" s="2" t="str">
        <f>IFERROR((VLOOKUP(B888,SOE!F:G,2,FALSE)),"No probado")</f>
        <v>No probado</v>
      </c>
    </row>
    <row r="889" spans="7:7" x14ac:dyDescent="0.35">
      <c r="G889" s="2" t="str">
        <f>IFERROR((VLOOKUP(B889,SOE!F:G,2,FALSE)),"No probado")</f>
        <v>No probado</v>
      </c>
    </row>
    <row r="890" spans="7:7" x14ac:dyDescent="0.35">
      <c r="G890" s="2" t="str">
        <f>IFERROR((VLOOKUP(B890,SOE!F:G,2,FALSE)),"No probado")</f>
        <v>No probado</v>
      </c>
    </row>
    <row r="891" spans="7:7" x14ac:dyDescent="0.35">
      <c r="G891" s="2" t="str">
        <f>IFERROR((VLOOKUP(B891,SOE!F:G,2,FALSE)),"No probado")</f>
        <v>No probado</v>
      </c>
    </row>
    <row r="892" spans="7:7" x14ac:dyDescent="0.35">
      <c r="G892" s="2" t="str">
        <f>IFERROR((VLOOKUP(B892,SOE!F:G,2,FALSE)),"No probado")</f>
        <v>No probado</v>
      </c>
    </row>
    <row r="893" spans="7:7" x14ac:dyDescent="0.35">
      <c r="G893" s="2" t="str">
        <f>IFERROR((VLOOKUP(B893,SOE!F:G,2,FALSE)),"No probado")</f>
        <v>No probado</v>
      </c>
    </row>
    <row r="894" spans="7:7" x14ac:dyDescent="0.35">
      <c r="G894" s="2" t="str">
        <f>IFERROR((VLOOKUP(B894,SOE!F:G,2,FALSE)),"No probado")</f>
        <v>No probado</v>
      </c>
    </row>
    <row r="895" spans="7:7" x14ac:dyDescent="0.35">
      <c r="G895" s="2" t="str">
        <f>IFERROR((VLOOKUP(B895,SOE!F:G,2,FALSE)),"No probado")</f>
        <v>No probado</v>
      </c>
    </row>
    <row r="896" spans="7:7" x14ac:dyDescent="0.35">
      <c r="G896" s="2" t="str">
        <f>IFERROR((VLOOKUP(B896,SOE!F:G,2,FALSE)),"No probado")</f>
        <v>No probado</v>
      </c>
    </row>
    <row r="897" spans="7:7" x14ac:dyDescent="0.35">
      <c r="G897" s="2" t="str">
        <f>IFERROR((VLOOKUP(B897,SOE!F:G,2,FALSE)),"No probado")</f>
        <v>No probado</v>
      </c>
    </row>
    <row r="898" spans="7:7" x14ac:dyDescent="0.35">
      <c r="G898" s="2" t="str">
        <f>IFERROR((VLOOKUP(B898,SOE!F:G,2,FALSE)),"No probado")</f>
        <v>No probado</v>
      </c>
    </row>
    <row r="899" spans="7:7" x14ac:dyDescent="0.35">
      <c r="G899" s="2" t="str">
        <f>IFERROR((VLOOKUP(B899,SOE!F:G,2,FALSE)),"No probado")</f>
        <v>No probado</v>
      </c>
    </row>
    <row r="900" spans="7:7" x14ac:dyDescent="0.35">
      <c r="G900" s="2" t="str">
        <f>IFERROR((VLOOKUP(B900,SOE!F:G,2,FALSE)),"No probado")</f>
        <v>No probado</v>
      </c>
    </row>
    <row r="901" spans="7:7" x14ac:dyDescent="0.35">
      <c r="G901" s="2" t="str">
        <f>IFERROR((VLOOKUP(B901,SOE!F:G,2,FALSE)),"No probado")</f>
        <v>No probado</v>
      </c>
    </row>
    <row r="902" spans="7:7" x14ac:dyDescent="0.35">
      <c r="G902" s="2" t="str">
        <f>IFERROR((VLOOKUP(B902,SOE!F:G,2,FALSE)),"No probado")</f>
        <v>No probado</v>
      </c>
    </row>
    <row r="903" spans="7:7" x14ac:dyDescent="0.35">
      <c r="G903" s="2" t="str">
        <f>IFERROR((VLOOKUP(B903,SOE!F:G,2,FALSE)),"No probado")</f>
        <v>No probado</v>
      </c>
    </row>
    <row r="904" spans="7:7" x14ac:dyDescent="0.35">
      <c r="G904" s="2" t="str">
        <f>IFERROR((VLOOKUP(B904,SOE!F:G,2,FALSE)),"No probado")</f>
        <v>No probado</v>
      </c>
    </row>
    <row r="905" spans="7:7" x14ac:dyDescent="0.35">
      <c r="G905" s="2" t="str">
        <f>IFERROR((VLOOKUP(B905,SOE!F:G,2,FALSE)),"No probado")</f>
        <v>No probado</v>
      </c>
    </row>
    <row r="906" spans="7:7" x14ac:dyDescent="0.35">
      <c r="G906" s="2" t="str">
        <f>IFERROR((VLOOKUP(B906,SOE!F:G,2,FALSE)),"No probado")</f>
        <v>No probado</v>
      </c>
    </row>
    <row r="907" spans="7:7" x14ac:dyDescent="0.35">
      <c r="G907" s="2" t="str">
        <f>IFERROR((VLOOKUP(B907,SOE!F:G,2,FALSE)),"No probado")</f>
        <v>No probado</v>
      </c>
    </row>
    <row r="908" spans="7:7" x14ac:dyDescent="0.35">
      <c r="G908" s="2" t="str">
        <f>IFERROR((VLOOKUP(B908,SOE!F:G,2,FALSE)),"No probado")</f>
        <v>No probado</v>
      </c>
    </row>
    <row r="909" spans="7:7" x14ac:dyDescent="0.35">
      <c r="G909" s="2" t="str">
        <f>IFERROR((VLOOKUP(B909,SOE!F:G,2,FALSE)),"No probado")</f>
        <v>No probado</v>
      </c>
    </row>
    <row r="910" spans="7:7" x14ac:dyDescent="0.35">
      <c r="G910" s="2" t="str">
        <f>IFERROR((VLOOKUP(B910,SOE!F:G,2,FALSE)),"No probado")</f>
        <v>No probado</v>
      </c>
    </row>
    <row r="911" spans="7:7" x14ac:dyDescent="0.35">
      <c r="G911" s="2" t="str">
        <f>IFERROR((VLOOKUP(B911,SOE!F:G,2,FALSE)),"No probado")</f>
        <v>No probado</v>
      </c>
    </row>
    <row r="912" spans="7:7" x14ac:dyDescent="0.35">
      <c r="G912" s="2" t="str">
        <f>IFERROR((VLOOKUP(B912,SOE!F:G,2,FALSE)),"No probado")</f>
        <v>No probado</v>
      </c>
    </row>
    <row r="913" spans="7:7" x14ac:dyDescent="0.35">
      <c r="G913" s="2" t="str">
        <f>IFERROR((VLOOKUP(B913,SOE!F:G,2,FALSE)),"No probado")</f>
        <v>No probado</v>
      </c>
    </row>
    <row r="914" spans="7:7" x14ac:dyDescent="0.35">
      <c r="G914" s="2" t="str">
        <f>IFERROR((VLOOKUP(B914,SOE!F:G,2,FALSE)),"No probado")</f>
        <v>No probado</v>
      </c>
    </row>
    <row r="915" spans="7:7" x14ac:dyDescent="0.35">
      <c r="G915" s="2" t="str">
        <f>IFERROR((VLOOKUP(B915,SOE!F:G,2,FALSE)),"No probado")</f>
        <v>No probado</v>
      </c>
    </row>
    <row r="916" spans="7:7" x14ac:dyDescent="0.35">
      <c r="G916" s="2" t="str">
        <f>IFERROR((VLOOKUP(B916,SOE!F:G,2,FALSE)),"No probado")</f>
        <v>No probado</v>
      </c>
    </row>
    <row r="917" spans="7:7" x14ac:dyDescent="0.35">
      <c r="G917" s="2" t="str">
        <f>IFERROR((VLOOKUP(B917,SOE!F:G,2,FALSE)),"No probado")</f>
        <v>No probado</v>
      </c>
    </row>
    <row r="918" spans="7:7" x14ac:dyDescent="0.35">
      <c r="G918" s="2" t="str">
        <f>IFERROR((VLOOKUP(B918,SOE!F:G,2,FALSE)),"No probado")</f>
        <v>No probado</v>
      </c>
    </row>
    <row r="919" spans="7:7" x14ac:dyDescent="0.35">
      <c r="G919" s="2" t="str">
        <f>IFERROR((VLOOKUP(B919,SOE!F:G,2,FALSE)),"No probado")</f>
        <v>No probado</v>
      </c>
    </row>
    <row r="920" spans="7:7" x14ac:dyDescent="0.35">
      <c r="G920" s="2" t="str">
        <f>IFERROR((VLOOKUP(B920,SOE!F:G,2,FALSE)),"No probado")</f>
        <v>No probado</v>
      </c>
    </row>
    <row r="921" spans="7:7" x14ac:dyDescent="0.35">
      <c r="G921" s="2" t="str">
        <f>IFERROR((VLOOKUP(B921,SOE!F:G,2,FALSE)),"No probado")</f>
        <v>No probado</v>
      </c>
    </row>
    <row r="922" spans="7:7" x14ac:dyDescent="0.35">
      <c r="G922" s="2" t="str">
        <f>IFERROR((VLOOKUP(B922,SOE!F:G,2,FALSE)),"No probado")</f>
        <v>No probado</v>
      </c>
    </row>
    <row r="923" spans="7:7" x14ac:dyDescent="0.35">
      <c r="G923" s="2" t="str">
        <f>IFERROR((VLOOKUP(B923,SOE!F:G,2,FALSE)),"No probado")</f>
        <v>No probado</v>
      </c>
    </row>
    <row r="924" spans="7:7" x14ac:dyDescent="0.35">
      <c r="G924" s="2" t="str">
        <f>IFERROR((VLOOKUP(B924,SOE!F:G,2,FALSE)),"No probado")</f>
        <v>No probado</v>
      </c>
    </row>
    <row r="925" spans="7:7" x14ac:dyDescent="0.35">
      <c r="G925" s="2" t="str">
        <f>IFERROR((VLOOKUP(B925,SOE!F:G,2,FALSE)),"No probado")</f>
        <v>No probado</v>
      </c>
    </row>
    <row r="926" spans="7:7" x14ac:dyDescent="0.35">
      <c r="G926" s="2" t="str">
        <f>IFERROR((VLOOKUP(B926,SOE!F:G,2,FALSE)),"No probado")</f>
        <v>No probado</v>
      </c>
    </row>
    <row r="927" spans="7:7" x14ac:dyDescent="0.35">
      <c r="G927" s="2" t="str">
        <f>IFERROR((VLOOKUP(B927,SOE!F:G,2,FALSE)),"No probado")</f>
        <v>No probado</v>
      </c>
    </row>
    <row r="928" spans="7:7" x14ac:dyDescent="0.35">
      <c r="G928" s="2" t="str">
        <f>IFERROR((VLOOKUP(B928,SOE!F:G,2,FALSE)),"No probado")</f>
        <v>No probado</v>
      </c>
    </row>
    <row r="929" spans="7:7" x14ac:dyDescent="0.35">
      <c r="G929" s="2" t="str">
        <f>IFERROR((VLOOKUP(B929,SOE!F:G,2,FALSE)),"No probado")</f>
        <v>No probado</v>
      </c>
    </row>
    <row r="930" spans="7:7" x14ac:dyDescent="0.35">
      <c r="G930" s="2" t="str">
        <f>IFERROR((VLOOKUP(B930,SOE!F:G,2,FALSE)),"No probado")</f>
        <v>No probado</v>
      </c>
    </row>
    <row r="931" spans="7:7" x14ac:dyDescent="0.35">
      <c r="G931" s="2" t="str">
        <f>IFERROR((VLOOKUP(B931,SOE!F:G,2,FALSE)),"No probado")</f>
        <v>No probado</v>
      </c>
    </row>
    <row r="932" spans="7:7" x14ac:dyDescent="0.35">
      <c r="G932" s="2" t="str">
        <f>IFERROR((VLOOKUP(B932,SOE!F:G,2,FALSE)),"No probado")</f>
        <v>No probado</v>
      </c>
    </row>
    <row r="933" spans="7:7" x14ac:dyDescent="0.35">
      <c r="G933" s="2" t="str">
        <f>IFERROR((VLOOKUP(B933,SOE!F:G,2,FALSE)),"No probado")</f>
        <v>No probado</v>
      </c>
    </row>
    <row r="934" spans="7:7" x14ac:dyDescent="0.35">
      <c r="G934" s="2" t="str">
        <f>IFERROR((VLOOKUP(B934,SOE!F:G,2,FALSE)),"No probado")</f>
        <v>No probado</v>
      </c>
    </row>
    <row r="935" spans="7:7" x14ac:dyDescent="0.35">
      <c r="G935" s="2" t="str">
        <f>IFERROR((VLOOKUP(B935,SOE!F:G,2,FALSE)),"No probado")</f>
        <v>No probado</v>
      </c>
    </row>
    <row r="936" spans="7:7" x14ac:dyDescent="0.35">
      <c r="G936" s="2" t="str">
        <f>IFERROR((VLOOKUP(B936,SOE!F:G,2,FALSE)),"No probado")</f>
        <v>No probado</v>
      </c>
    </row>
    <row r="937" spans="7:7" x14ac:dyDescent="0.35">
      <c r="G937" s="2" t="str">
        <f>IFERROR((VLOOKUP(B937,SOE!F:G,2,FALSE)),"No probado")</f>
        <v>No probado</v>
      </c>
    </row>
    <row r="938" spans="7:7" x14ac:dyDescent="0.35">
      <c r="G938" s="2" t="str">
        <f>IFERROR((VLOOKUP(B938,SOE!F:G,2,FALSE)),"No probado")</f>
        <v>No probado</v>
      </c>
    </row>
    <row r="939" spans="7:7" x14ac:dyDescent="0.35">
      <c r="G939" s="2" t="str">
        <f>IFERROR((VLOOKUP(B939,SOE!F:G,2,FALSE)),"No probado")</f>
        <v>No probado</v>
      </c>
    </row>
    <row r="940" spans="7:7" x14ac:dyDescent="0.35">
      <c r="G940" s="2" t="str">
        <f>IFERROR((VLOOKUP(B940,SOE!F:G,2,FALSE)),"No probado")</f>
        <v>No probado</v>
      </c>
    </row>
    <row r="941" spans="7:7" x14ac:dyDescent="0.35">
      <c r="G941" s="2" t="str">
        <f>IFERROR((VLOOKUP(B941,SOE!F:G,2,FALSE)),"No probado")</f>
        <v>No probado</v>
      </c>
    </row>
    <row r="942" spans="7:7" x14ac:dyDescent="0.35">
      <c r="G942" s="2" t="str">
        <f>IFERROR((VLOOKUP(B942,SOE!F:G,2,FALSE)),"No probado")</f>
        <v>No probado</v>
      </c>
    </row>
    <row r="943" spans="7:7" x14ac:dyDescent="0.35">
      <c r="G943" s="2" t="str">
        <f>IFERROR((VLOOKUP(B943,SOE!F:G,2,FALSE)),"No probado")</f>
        <v>No probado</v>
      </c>
    </row>
    <row r="944" spans="7:7" x14ac:dyDescent="0.35">
      <c r="G944" s="2" t="str">
        <f>IFERROR((VLOOKUP(B944,SOE!F:G,2,FALSE)),"No probado")</f>
        <v>No probado</v>
      </c>
    </row>
    <row r="945" spans="7:7" x14ac:dyDescent="0.35">
      <c r="G945" s="2" t="str">
        <f>IFERROR((VLOOKUP(B945,SOE!F:G,2,FALSE)),"No probado")</f>
        <v>No probado</v>
      </c>
    </row>
    <row r="946" spans="7:7" x14ac:dyDescent="0.35">
      <c r="G946" s="2" t="str">
        <f>IFERROR((VLOOKUP(B946,SOE!F:G,2,FALSE)),"No probado")</f>
        <v>No probado</v>
      </c>
    </row>
    <row r="947" spans="7:7" x14ac:dyDescent="0.35">
      <c r="G947" s="2" t="str">
        <f>IFERROR((VLOOKUP(B947,SOE!F:G,2,FALSE)),"No probado")</f>
        <v>No probado</v>
      </c>
    </row>
    <row r="948" spans="7:7" x14ac:dyDescent="0.35">
      <c r="G948" s="2" t="str">
        <f>IFERROR((VLOOKUP(B948,SOE!F:G,2,FALSE)),"No probado")</f>
        <v>No probado</v>
      </c>
    </row>
    <row r="949" spans="7:7" x14ac:dyDescent="0.35">
      <c r="G949" s="2" t="str">
        <f>IFERROR((VLOOKUP(B949,SOE!F:G,2,FALSE)),"No probado")</f>
        <v>No probado</v>
      </c>
    </row>
    <row r="950" spans="7:7" x14ac:dyDescent="0.35">
      <c r="G950" s="2" t="str">
        <f>IFERROR((VLOOKUP(B950,SOE!F:G,2,FALSE)),"No probado")</f>
        <v>No probado</v>
      </c>
    </row>
    <row r="951" spans="7:7" x14ac:dyDescent="0.35">
      <c r="G951" s="2" t="str">
        <f>IFERROR((VLOOKUP(B951,SOE!F:G,2,FALSE)),"No probado")</f>
        <v>No probado</v>
      </c>
    </row>
    <row r="952" spans="7:7" x14ac:dyDescent="0.35">
      <c r="G952" s="2" t="str">
        <f>IFERROR((VLOOKUP(B952,SOE!F:G,2,FALSE)),"No probado")</f>
        <v>No probado</v>
      </c>
    </row>
    <row r="953" spans="7:7" x14ac:dyDescent="0.35">
      <c r="G953" s="2" t="str">
        <f>IFERROR((VLOOKUP(B953,SOE!F:G,2,FALSE)),"No probado")</f>
        <v>No probado</v>
      </c>
    </row>
    <row r="954" spans="7:7" x14ac:dyDescent="0.35">
      <c r="G954" s="2" t="str">
        <f>IFERROR((VLOOKUP(B954,SOE!F:G,2,FALSE)),"No probado")</f>
        <v>No probado</v>
      </c>
    </row>
    <row r="955" spans="7:7" x14ac:dyDescent="0.35">
      <c r="G955" s="2" t="str">
        <f>IFERROR((VLOOKUP(B955,SOE!F:G,2,FALSE)),"No probado")</f>
        <v>No probado</v>
      </c>
    </row>
    <row r="956" spans="7:7" x14ac:dyDescent="0.35">
      <c r="G956" s="2" t="str">
        <f>IFERROR((VLOOKUP(B956,SOE!F:G,2,FALSE)),"No probado")</f>
        <v>No probado</v>
      </c>
    </row>
    <row r="957" spans="7:7" x14ac:dyDescent="0.35">
      <c r="G957" s="2" t="str">
        <f>IFERROR((VLOOKUP(B957,SOE!F:G,2,FALSE)),"No probado")</f>
        <v>No probado</v>
      </c>
    </row>
    <row r="958" spans="7:7" x14ac:dyDescent="0.35">
      <c r="G958" s="2" t="str">
        <f>IFERROR((VLOOKUP(B958,SOE!F:G,2,FALSE)),"No probado")</f>
        <v>No probado</v>
      </c>
    </row>
    <row r="959" spans="7:7" x14ac:dyDescent="0.35">
      <c r="G959" s="2" t="str">
        <f>IFERROR((VLOOKUP(B959,SOE!F:G,2,FALSE)),"No probado")</f>
        <v>No probado</v>
      </c>
    </row>
    <row r="960" spans="7:7" x14ac:dyDescent="0.35">
      <c r="G960" s="2" t="str">
        <f>IFERROR((VLOOKUP(B960,SOE!F:G,2,FALSE)),"No probado")</f>
        <v>No probado</v>
      </c>
    </row>
    <row r="961" spans="7:7" x14ac:dyDescent="0.35">
      <c r="G961" s="2" t="str">
        <f>IFERROR((VLOOKUP(B961,SOE!F:G,2,FALSE)),"No probado")</f>
        <v>No probado</v>
      </c>
    </row>
    <row r="962" spans="7:7" x14ac:dyDescent="0.35">
      <c r="G962" s="2" t="str">
        <f>IFERROR((VLOOKUP(B962,SOE!F:G,2,FALSE)),"No probado")</f>
        <v>No probado</v>
      </c>
    </row>
    <row r="963" spans="7:7" x14ac:dyDescent="0.35">
      <c r="G963" s="2" t="str">
        <f>IFERROR((VLOOKUP(B963,SOE!F:G,2,FALSE)),"No probado")</f>
        <v>No probado</v>
      </c>
    </row>
    <row r="964" spans="7:7" x14ac:dyDescent="0.35">
      <c r="G964" s="2" t="str">
        <f>IFERROR((VLOOKUP(B964,SOE!F:G,2,FALSE)),"No probado")</f>
        <v>No probado</v>
      </c>
    </row>
    <row r="965" spans="7:7" x14ac:dyDescent="0.35">
      <c r="G965" s="2" t="str">
        <f>IFERROR((VLOOKUP(B965,SOE!F:G,2,FALSE)),"No probado")</f>
        <v>No probado</v>
      </c>
    </row>
    <row r="966" spans="7:7" x14ac:dyDescent="0.35">
      <c r="G966" s="2" t="str">
        <f>IFERROR((VLOOKUP(B966,SOE!F:G,2,FALSE)),"No probado")</f>
        <v>No probado</v>
      </c>
    </row>
    <row r="967" spans="7:7" x14ac:dyDescent="0.35">
      <c r="G967" s="2" t="str">
        <f>IFERROR((VLOOKUP(B967,SOE!F:G,2,FALSE)),"No probado")</f>
        <v>No probado</v>
      </c>
    </row>
    <row r="968" spans="7:7" x14ac:dyDescent="0.35">
      <c r="G968" s="2" t="str">
        <f>IFERROR((VLOOKUP(B968,SOE!F:G,2,FALSE)),"No probado")</f>
        <v>No probado</v>
      </c>
    </row>
    <row r="969" spans="7:7" x14ac:dyDescent="0.35">
      <c r="G969" s="2" t="str">
        <f>IFERROR((VLOOKUP(B969,SOE!F:G,2,FALSE)),"No probado")</f>
        <v>No probado</v>
      </c>
    </row>
    <row r="970" spans="7:7" x14ac:dyDescent="0.35">
      <c r="G970" s="2" t="str">
        <f>IFERROR((VLOOKUP(B970,SOE!F:G,2,FALSE)),"No probado")</f>
        <v>No probado</v>
      </c>
    </row>
    <row r="971" spans="7:7" x14ac:dyDescent="0.35">
      <c r="G971" s="2" t="str">
        <f>IFERROR((VLOOKUP(B971,SOE!F:G,2,FALSE)),"No probado")</f>
        <v>No probado</v>
      </c>
    </row>
    <row r="972" spans="7:7" x14ac:dyDescent="0.35">
      <c r="G972" s="2" t="str">
        <f>IFERROR((VLOOKUP(B972,SOE!F:G,2,FALSE)),"No probado")</f>
        <v>No probado</v>
      </c>
    </row>
    <row r="973" spans="7:7" x14ac:dyDescent="0.35">
      <c r="G973" s="2" t="str">
        <f>IFERROR((VLOOKUP(B973,SOE!F:G,2,FALSE)),"No probado")</f>
        <v>No probado</v>
      </c>
    </row>
    <row r="974" spans="7:7" x14ac:dyDescent="0.35">
      <c r="G974" s="2" t="str">
        <f>IFERROR((VLOOKUP(B974,SOE!F:G,2,FALSE)),"No probado")</f>
        <v>No probado</v>
      </c>
    </row>
    <row r="975" spans="7:7" x14ac:dyDescent="0.35">
      <c r="G975" s="2" t="str">
        <f>IFERROR((VLOOKUP(B975,SOE!F:G,2,FALSE)),"No probado")</f>
        <v>No probado</v>
      </c>
    </row>
    <row r="976" spans="7:7" x14ac:dyDescent="0.35">
      <c r="G976" s="2" t="str">
        <f>IFERROR((VLOOKUP(B976,SOE!F:G,2,FALSE)),"No probado")</f>
        <v>No probado</v>
      </c>
    </row>
    <row r="977" spans="7:7" x14ac:dyDescent="0.35">
      <c r="G977" s="2" t="str">
        <f>IFERROR((VLOOKUP(B977,SOE!F:G,2,FALSE)),"No probado")</f>
        <v>No probado</v>
      </c>
    </row>
    <row r="978" spans="7:7" x14ac:dyDescent="0.35">
      <c r="G978" s="2" t="str">
        <f>IFERROR((VLOOKUP(B978,SOE!F:G,2,FALSE)),"No probado")</f>
        <v>No probado</v>
      </c>
    </row>
    <row r="979" spans="7:7" x14ac:dyDescent="0.35">
      <c r="G979" s="2" t="str">
        <f>IFERROR((VLOOKUP(B979,SOE!F:G,2,FALSE)),"No probado")</f>
        <v>No probado</v>
      </c>
    </row>
    <row r="980" spans="7:7" x14ac:dyDescent="0.35">
      <c r="G980" s="2" t="str">
        <f>IFERROR((VLOOKUP(B980,SOE!F:G,2,FALSE)),"No probado")</f>
        <v>No probado</v>
      </c>
    </row>
    <row r="981" spans="7:7" x14ac:dyDescent="0.35">
      <c r="G981" s="2" t="str">
        <f>IFERROR((VLOOKUP(B981,SOE!F:G,2,FALSE)),"No probado")</f>
        <v>No probado</v>
      </c>
    </row>
    <row r="982" spans="7:7" x14ac:dyDescent="0.35">
      <c r="G982" s="2" t="str">
        <f>IFERROR((VLOOKUP(B982,SOE!F:G,2,FALSE)),"No probado")</f>
        <v>No probado</v>
      </c>
    </row>
    <row r="983" spans="7:7" x14ac:dyDescent="0.35">
      <c r="G983" s="2" t="str">
        <f>IFERROR((VLOOKUP(B983,SOE!F:G,2,FALSE)),"No probado")</f>
        <v>No probado</v>
      </c>
    </row>
    <row r="984" spans="7:7" x14ac:dyDescent="0.35">
      <c r="G984" s="2" t="str">
        <f>IFERROR((VLOOKUP(B984,SOE!F:G,2,FALSE)),"No probado")</f>
        <v>No probado</v>
      </c>
    </row>
    <row r="985" spans="7:7" x14ac:dyDescent="0.35">
      <c r="G985" s="2" t="str">
        <f>IFERROR((VLOOKUP(B985,SOE!F:G,2,FALSE)),"No probado")</f>
        <v>No probado</v>
      </c>
    </row>
    <row r="986" spans="7:7" x14ac:dyDescent="0.35">
      <c r="G986" s="2" t="str">
        <f>IFERROR((VLOOKUP(B986,SOE!F:G,2,FALSE)),"No probado")</f>
        <v>No probado</v>
      </c>
    </row>
    <row r="987" spans="7:7" x14ac:dyDescent="0.35">
      <c r="G987" s="2" t="str">
        <f>IFERROR((VLOOKUP(B987,SOE!F:G,2,FALSE)),"No probado")</f>
        <v>No probado</v>
      </c>
    </row>
    <row r="988" spans="7:7" x14ac:dyDescent="0.35">
      <c r="G988" s="2" t="str">
        <f>IFERROR((VLOOKUP(B988,SOE!F:G,2,FALSE)),"No probado")</f>
        <v>No probado</v>
      </c>
    </row>
    <row r="989" spans="7:7" x14ac:dyDescent="0.35">
      <c r="G989" s="2" t="str">
        <f>IFERROR((VLOOKUP(B989,SOE!F:G,2,FALSE)),"No probado")</f>
        <v>No probado</v>
      </c>
    </row>
    <row r="990" spans="7:7" x14ac:dyDescent="0.35">
      <c r="G990" s="2" t="str">
        <f>IFERROR((VLOOKUP(B990,SOE!F:G,2,FALSE)),"No probado")</f>
        <v>No probado</v>
      </c>
    </row>
    <row r="991" spans="7:7" x14ac:dyDescent="0.35">
      <c r="G991" s="2" t="str">
        <f>IFERROR((VLOOKUP(B991,SOE!F:G,2,FALSE)),"No probado")</f>
        <v>No probado</v>
      </c>
    </row>
    <row r="992" spans="7:7" x14ac:dyDescent="0.35">
      <c r="G992" s="2" t="str">
        <f>IFERROR((VLOOKUP(B992,SOE!F:G,2,FALSE)),"No probado")</f>
        <v>No probado</v>
      </c>
    </row>
    <row r="993" spans="7:7" x14ac:dyDescent="0.35">
      <c r="G993" s="2" t="str">
        <f>IFERROR((VLOOKUP(B993,SOE!F:G,2,FALSE)),"No probado")</f>
        <v>No probado</v>
      </c>
    </row>
    <row r="994" spans="7:7" x14ac:dyDescent="0.35">
      <c r="G994" s="2" t="str">
        <f>IFERROR((VLOOKUP(B994,SOE!F:G,2,FALSE)),"No probado")</f>
        <v>No probado</v>
      </c>
    </row>
    <row r="995" spans="7:7" x14ac:dyDescent="0.35">
      <c r="G995" s="2" t="str">
        <f>IFERROR((VLOOKUP(B995,SOE!F:G,2,FALSE)),"No probado")</f>
        <v>No probado</v>
      </c>
    </row>
    <row r="996" spans="7:7" x14ac:dyDescent="0.35">
      <c r="G996" s="2" t="str">
        <f>IFERROR((VLOOKUP(B996,SOE!F:G,2,FALSE)),"No probado")</f>
        <v>No probado</v>
      </c>
    </row>
    <row r="997" spans="7:7" x14ac:dyDescent="0.35">
      <c r="G997" s="2" t="str">
        <f>IFERROR((VLOOKUP(B997,SOE!F:G,2,FALSE)),"No probado")</f>
        <v>No probado</v>
      </c>
    </row>
    <row r="998" spans="7:7" x14ac:dyDescent="0.35">
      <c r="G998" s="2" t="str">
        <f>IFERROR((VLOOKUP(B998,SOE!F:G,2,FALSE)),"No probado")</f>
        <v>No probado</v>
      </c>
    </row>
    <row r="999" spans="7:7" x14ac:dyDescent="0.35">
      <c r="G999" s="2" t="str">
        <f>IFERROR((VLOOKUP(B999,SOE!F:G,2,FALSE)),"No probado")</f>
        <v>No probado</v>
      </c>
    </row>
    <row r="1000" spans="7:7" x14ac:dyDescent="0.35">
      <c r="G1000" s="2" t="str">
        <f>IFERROR((VLOOKUP(B1000,SOE!F:G,2,FALSE)),"No probado")</f>
        <v>No probado</v>
      </c>
    </row>
    <row r="1001" spans="7:7" x14ac:dyDescent="0.35">
      <c r="G1001" s="2" t="str">
        <f>IFERROR((VLOOKUP(B1001,SOE!F:G,2,FALSE)),"No probado")</f>
        <v>No probado</v>
      </c>
    </row>
    <row r="1002" spans="7:7" x14ac:dyDescent="0.35">
      <c r="G1002" s="2" t="str">
        <f>IFERROR((VLOOKUP(B1002,SOE!F:G,2,FALSE)),"No probado")</f>
        <v>No probado</v>
      </c>
    </row>
    <row r="1003" spans="7:7" x14ac:dyDescent="0.35">
      <c r="G1003" s="2" t="str">
        <f>IFERROR((VLOOKUP(B1003,SOE!F:G,2,FALSE)),"No probado")</f>
        <v>No probado</v>
      </c>
    </row>
    <row r="1004" spans="7:7" x14ac:dyDescent="0.35">
      <c r="G1004" s="2" t="str">
        <f>IFERROR((VLOOKUP(B1004,SOE!F:G,2,FALSE)),"No probado")</f>
        <v>No probado</v>
      </c>
    </row>
    <row r="1005" spans="7:7" x14ac:dyDescent="0.35">
      <c r="G1005" s="2" t="str">
        <f>IFERROR((VLOOKUP(B1005,SOE!F:G,2,FALSE)),"No probado")</f>
        <v>No probado</v>
      </c>
    </row>
    <row r="1006" spans="7:7" x14ac:dyDescent="0.35">
      <c r="G1006" s="2" t="str">
        <f>IFERROR((VLOOKUP(B1006,SOE!F:G,2,FALSE)),"No probado")</f>
        <v>No probado</v>
      </c>
    </row>
    <row r="1007" spans="7:7" x14ac:dyDescent="0.35">
      <c r="G1007" s="2" t="str">
        <f>IFERROR((VLOOKUP(B1007,SOE!F:G,2,FALSE)),"No probado")</f>
        <v>No probado</v>
      </c>
    </row>
    <row r="1008" spans="7:7" x14ac:dyDescent="0.35">
      <c r="G1008" s="2" t="str">
        <f>IFERROR((VLOOKUP(B1008,SOE!F:G,2,FALSE)),"No probado")</f>
        <v>No probado</v>
      </c>
    </row>
    <row r="1009" spans="7:7" x14ac:dyDescent="0.35">
      <c r="G1009" s="2" t="str">
        <f>IFERROR((VLOOKUP(B1009,SOE!F:G,2,FALSE)),"No probado")</f>
        <v>No probado</v>
      </c>
    </row>
    <row r="1010" spans="7:7" x14ac:dyDescent="0.35">
      <c r="G1010" s="2" t="str">
        <f>IFERROR((VLOOKUP(B1010,SOE!F:G,2,FALSE)),"No probado")</f>
        <v>No probado</v>
      </c>
    </row>
    <row r="1011" spans="7:7" x14ac:dyDescent="0.35">
      <c r="G1011" s="2" t="str">
        <f>IFERROR((VLOOKUP(B1011,SOE!F:G,2,FALSE)),"No probado")</f>
        <v>No probado</v>
      </c>
    </row>
    <row r="1012" spans="7:7" x14ac:dyDescent="0.35">
      <c r="G1012" s="2" t="str">
        <f>IFERROR((VLOOKUP(B1012,SOE!F:G,2,FALSE)),"No probado")</f>
        <v>No probado</v>
      </c>
    </row>
    <row r="1013" spans="7:7" x14ac:dyDescent="0.35">
      <c r="G1013" s="2" t="str">
        <f>IFERROR((VLOOKUP(B1013,SOE!F:G,2,FALSE)),"No probado")</f>
        <v>No probado</v>
      </c>
    </row>
    <row r="1014" spans="7:7" x14ac:dyDescent="0.35">
      <c r="G1014" s="2" t="str">
        <f>IFERROR((VLOOKUP(B1014,SOE!F:G,2,FALSE)),"No probado")</f>
        <v>No probado</v>
      </c>
    </row>
    <row r="1015" spans="7:7" x14ac:dyDescent="0.35">
      <c r="G1015" s="2" t="str">
        <f>IFERROR((VLOOKUP(B1015,SOE!F:G,2,FALSE)),"No probado")</f>
        <v>No probado</v>
      </c>
    </row>
    <row r="1016" spans="7:7" x14ac:dyDescent="0.35">
      <c r="G1016" s="2" t="str">
        <f>IFERROR((VLOOKUP(B1016,SOE!F:G,2,FALSE)),"No probado")</f>
        <v>No probado</v>
      </c>
    </row>
    <row r="1017" spans="7:7" x14ac:dyDescent="0.35">
      <c r="G1017" s="2" t="str">
        <f>IFERROR((VLOOKUP(B1017,SOE!F:G,2,FALSE)),"No probado")</f>
        <v>No probado</v>
      </c>
    </row>
    <row r="1018" spans="7:7" x14ac:dyDescent="0.35">
      <c r="G1018" s="2" t="str">
        <f>IFERROR((VLOOKUP(B1018,SOE!F:G,2,FALSE)),"No probado")</f>
        <v>No probado</v>
      </c>
    </row>
    <row r="1019" spans="7:7" x14ac:dyDescent="0.35">
      <c r="G1019" s="2" t="str">
        <f>IFERROR((VLOOKUP(B1019,SOE!F:G,2,FALSE)),"No probado")</f>
        <v>No probado</v>
      </c>
    </row>
    <row r="1020" spans="7:7" x14ac:dyDescent="0.35">
      <c r="G1020" s="2" t="str">
        <f>IFERROR((VLOOKUP(B1020,SOE!F:G,2,FALSE)),"No probado")</f>
        <v>No probado</v>
      </c>
    </row>
    <row r="1021" spans="7:7" x14ac:dyDescent="0.35">
      <c r="G1021" s="2" t="str">
        <f>IFERROR((VLOOKUP(B1021,SOE!F:G,2,FALSE)),"No probado")</f>
        <v>No probado</v>
      </c>
    </row>
    <row r="1022" spans="7:7" x14ac:dyDescent="0.35">
      <c r="G1022" s="2" t="str">
        <f>IFERROR((VLOOKUP(B1022,SOE!F:G,2,FALSE)),"No probado")</f>
        <v>No probado</v>
      </c>
    </row>
    <row r="1023" spans="7:7" x14ac:dyDescent="0.35">
      <c r="G1023" s="2" t="str">
        <f>IFERROR((VLOOKUP(B1023,SOE!F:G,2,FALSE)),"No probado")</f>
        <v>No probado</v>
      </c>
    </row>
    <row r="1024" spans="7:7" x14ac:dyDescent="0.35">
      <c r="G1024" s="2" t="str">
        <f>IFERROR((VLOOKUP(B1024,SOE!F:G,2,FALSE)),"No probado")</f>
        <v>No probado</v>
      </c>
    </row>
    <row r="1025" spans="7:7" x14ac:dyDescent="0.35">
      <c r="G1025" s="2" t="str">
        <f>IFERROR((VLOOKUP(B1025,SOE!F:G,2,FALSE)),"No probado")</f>
        <v>No probado</v>
      </c>
    </row>
    <row r="1026" spans="7:7" x14ac:dyDescent="0.35">
      <c r="G1026" s="2" t="str">
        <f>IFERROR((VLOOKUP(B1026,SOE!F:G,2,FALSE)),"No probado")</f>
        <v>No probado</v>
      </c>
    </row>
    <row r="1027" spans="7:7" x14ac:dyDescent="0.35">
      <c r="G1027" s="2" t="str">
        <f>IFERROR((VLOOKUP(B1027,SOE!F:G,2,FALSE)),"No probado")</f>
        <v>No probado</v>
      </c>
    </row>
    <row r="1028" spans="7:7" x14ac:dyDescent="0.35">
      <c r="G1028" s="2" t="str">
        <f>IFERROR((VLOOKUP(B1028,SOE!F:G,2,FALSE)),"No probado")</f>
        <v>No probado</v>
      </c>
    </row>
    <row r="1029" spans="7:7" x14ac:dyDescent="0.35">
      <c r="G1029" s="2" t="str">
        <f>IFERROR((VLOOKUP(B1029,SOE!F:G,2,FALSE)),"No probado")</f>
        <v>No probado</v>
      </c>
    </row>
    <row r="1030" spans="7:7" x14ac:dyDescent="0.35">
      <c r="G1030" s="2" t="str">
        <f>IFERROR((VLOOKUP(B1030,SOE!F:G,2,FALSE)),"No probado")</f>
        <v>No probado</v>
      </c>
    </row>
    <row r="1031" spans="7:7" x14ac:dyDescent="0.35">
      <c r="G1031" s="2" t="str">
        <f>IFERROR((VLOOKUP(B1031,SOE!F:G,2,FALSE)),"No probado")</f>
        <v>No probado</v>
      </c>
    </row>
    <row r="1032" spans="7:7" x14ac:dyDescent="0.35">
      <c r="G1032" s="2" t="str">
        <f>IFERROR((VLOOKUP(B1032,SOE!F:G,2,FALSE)),"No probado")</f>
        <v>No probado</v>
      </c>
    </row>
    <row r="1033" spans="7:7" x14ac:dyDescent="0.35">
      <c r="G1033" s="2" t="str">
        <f>IFERROR((VLOOKUP(B1033,SOE!F:G,2,FALSE)),"No probado")</f>
        <v>No probado</v>
      </c>
    </row>
    <row r="1034" spans="7:7" x14ac:dyDescent="0.35">
      <c r="G1034" s="2" t="str">
        <f>IFERROR((VLOOKUP(B1034,SOE!F:G,2,FALSE)),"No probado")</f>
        <v>No probado</v>
      </c>
    </row>
    <row r="1035" spans="7:7" x14ac:dyDescent="0.35">
      <c r="G1035" s="2" t="str">
        <f>IFERROR((VLOOKUP(B1035,SOE!F:G,2,FALSE)),"No probado")</f>
        <v>No probado</v>
      </c>
    </row>
    <row r="1036" spans="7:7" x14ac:dyDescent="0.35">
      <c r="G1036" s="2" t="str">
        <f>IFERROR((VLOOKUP(B1036,SOE!F:G,2,FALSE)),"No probado")</f>
        <v>No probado</v>
      </c>
    </row>
    <row r="1037" spans="7:7" x14ac:dyDescent="0.35">
      <c r="G1037" s="2" t="str">
        <f>IFERROR((VLOOKUP(B1037,SOE!F:G,2,FALSE)),"No probado")</f>
        <v>No probado</v>
      </c>
    </row>
    <row r="1038" spans="7:7" x14ac:dyDescent="0.35">
      <c r="G1038" s="2" t="str">
        <f>IFERROR((VLOOKUP(B1038,SOE!F:G,2,FALSE)),"No probado")</f>
        <v>No probado</v>
      </c>
    </row>
    <row r="1039" spans="7:7" x14ac:dyDescent="0.35">
      <c r="G1039" s="2" t="str">
        <f>IFERROR((VLOOKUP(B1039,SOE!F:G,2,FALSE)),"No probado")</f>
        <v>No probado</v>
      </c>
    </row>
    <row r="1040" spans="7:7" x14ac:dyDescent="0.35">
      <c r="G1040" s="2" t="str">
        <f>IFERROR((VLOOKUP(B1040,SOE!F:G,2,FALSE)),"No probado")</f>
        <v>No probado</v>
      </c>
    </row>
    <row r="1041" spans="7:7" x14ac:dyDescent="0.35">
      <c r="G1041" s="2" t="str">
        <f>IFERROR((VLOOKUP(B1041,SOE!F:G,2,FALSE)),"No probado")</f>
        <v>No probado</v>
      </c>
    </row>
    <row r="1042" spans="7:7" x14ac:dyDescent="0.35">
      <c r="G1042" s="2" t="str">
        <f>IFERROR((VLOOKUP(B1042,SOE!F:G,2,FALSE)),"No probado")</f>
        <v>No probado</v>
      </c>
    </row>
    <row r="1043" spans="7:7" x14ac:dyDescent="0.35">
      <c r="G1043" s="2" t="str">
        <f>IFERROR((VLOOKUP(B1043,SOE!F:G,2,FALSE)),"No probado")</f>
        <v>No probado</v>
      </c>
    </row>
    <row r="1044" spans="7:7" x14ac:dyDescent="0.35">
      <c r="G1044" s="2" t="str">
        <f>IFERROR((VLOOKUP(B1044,SOE!F:G,2,FALSE)),"No probado")</f>
        <v>No probado</v>
      </c>
    </row>
    <row r="1045" spans="7:7" x14ac:dyDescent="0.35">
      <c r="G1045" s="2" t="str">
        <f>IFERROR((VLOOKUP(B1045,SOE!F:G,2,FALSE)),"No probado")</f>
        <v>No probado</v>
      </c>
    </row>
    <row r="1046" spans="7:7" x14ac:dyDescent="0.35">
      <c r="G1046" s="2" t="str">
        <f>IFERROR((VLOOKUP(B1046,SOE!F:G,2,FALSE)),"No probado")</f>
        <v>No probado</v>
      </c>
    </row>
    <row r="1047" spans="7:7" x14ac:dyDescent="0.35">
      <c r="G1047" s="2" t="str">
        <f>IFERROR((VLOOKUP(B1047,SOE!F:G,2,FALSE)),"No probado")</f>
        <v>No probado</v>
      </c>
    </row>
    <row r="1048" spans="7:7" x14ac:dyDescent="0.35">
      <c r="G1048" s="2" t="str">
        <f>IFERROR((VLOOKUP(B1048,SOE!F:G,2,FALSE)),"No probado")</f>
        <v>No probado</v>
      </c>
    </row>
    <row r="1049" spans="7:7" x14ac:dyDescent="0.35">
      <c r="G1049" s="2" t="str">
        <f>IFERROR((VLOOKUP(B1049,SOE!F:G,2,FALSE)),"No probado")</f>
        <v>No probado</v>
      </c>
    </row>
    <row r="1050" spans="7:7" x14ac:dyDescent="0.35">
      <c r="G1050" s="2" t="str">
        <f>IFERROR((VLOOKUP(B1050,SOE!F:G,2,FALSE)),"No probado")</f>
        <v>No probado</v>
      </c>
    </row>
    <row r="1051" spans="7:7" x14ac:dyDescent="0.35">
      <c r="G1051" s="2" t="str">
        <f>IFERROR((VLOOKUP(B1051,SOE!F:G,2,FALSE)),"No probado")</f>
        <v>No probado</v>
      </c>
    </row>
    <row r="1052" spans="7:7" x14ac:dyDescent="0.35">
      <c r="G1052" s="2" t="str">
        <f>IFERROR((VLOOKUP(B1052,SOE!F:G,2,FALSE)),"No probado")</f>
        <v>No probado</v>
      </c>
    </row>
    <row r="1053" spans="7:7" x14ac:dyDescent="0.35">
      <c r="G1053" s="2" t="str">
        <f>IFERROR((VLOOKUP(B1053,SOE!F:G,2,FALSE)),"No probado")</f>
        <v>No probado</v>
      </c>
    </row>
    <row r="1054" spans="7:7" x14ac:dyDescent="0.35">
      <c r="G1054" s="2" t="str">
        <f>IFERROR((VLOOKUP(B1054,SOE!F:G,2,FALSE)),"No probado")</f>
        <v>No probado</v>
      </c>
    </row>
    <row r="1055" spans="7:7" x14ac:dyDescent="0.35">
      <c r="G1055" s="2" t="str">
        <f>IFERROR((VLOOKUP(B1055,SOE!F:G,2,FALSE)),"No probado")</f>
        <v>No probado</v>
      </c>
    </row>
    <row r="1056" spans="7:7" x14ac:dyDescent="0.35">
      <c r="G1056" s="2" t="str">
        <f>IFERROR((VLOOKUP(B1056,SOE!F:G,2,FALSE)),"No probado")</f>
        <v>No probado</v>
      </c>
    </row>
    <row r="1057" spans="7:7" x14ac:dyDescent="0.35">
      <c r="G1057" s="2" t="str">
        <f>IFERROR((VLOOKUP(B1057,SOE!F:G,2,FALSE)),"No probado")</f>
        <v>No probado</v>
      </c>
    </row>
    <row r="1058" spans="7:7" x14ac:dyDescent="0.35">
      <c r="G1058" s="2" t="str">
        <f>IFERROR((VLOOKUP(B1058,SOE!F:G,2,FALSE)),"No probado")</f>
        <v>No probado</v>
      </c>
    </row>
    <row r="1059" spans="7:7" x14ac:dyDescent="0.35">
      <c r="G1059" s="2" t="str">
        <f>IFERROR((VLOOKUP(B1059,SOE!F:G,2,FALSE)),"No probado")</f>
        <v>No probado</v>
      </c>
    </row>
    <row r="1060" spans="7:7" x14ac:dyDescent="0.35">
      <c r="G1060" s="2" t="str">
        <f>IFERROR((VLOOKUP(B1060,SOE!F:G,2,FALSE)),"No probado")</f>
        <v>No probado</v>
      </c>
    </row>
    <row r="1061" spans="7:7" x14ac:dyDescent="0.35">
      <c r="G1061" s="2" t="str">
        <f>IFERROR((VLOOKUP(B1061,SOE!F:G,2,FALSE)),"No probado")</f>
        <v>No probado</v>
      </c>
    </row>
    <row r="1062" spans="7:7" x14ac:dyDescent="0.35">
      <c r="G1062" s="2" t="str">
        <f>IFERROR((VLOOKUP(B1062,SOE!F:G,2,FALSE)),"No probado")</f>
        <v>No probado</v>
      </c>
    </row>
    <row r="1063" spans="7:7" x14ac:dyDescent="0.35">
      <c r="G1063" s="2" t="str">
        <f>IFERROR((VLOOKUP(B1063,SOE!F:G,2,FALSE)),"No probado")</f>
        <v>No probado</v>
      </c>
    </row>
    <row r="1064" spans="7:7" x14ac:dyDescent="0.35">
      <c r="G1064" s="2" t="str">
        <f>IFERROR((VLOOKUP(B1064,SOE!F:G,2,FALSE)),"No probado")</f>
        <v>No probado</v>
      </c>
    </row>
    <row r="1065" spans="7:7" x14ac:dyDescent="0.35">
      <c r="G1065" s="2" t="str">
        <f>IFERROR((VLOOKUP(B1065,SOE!F:G,2,FALSE)),"No probado")</f>
        <v>No probado</v>
      </c>
    </row>
    <row r="1066" spans="7:7" x14ac:dyDescent="0.35">
      <c r="G1066" s="2" t="str">
        <f>IFERROR((VLOOKUP(B1066,SOE!F:G,2,FALSE)),"No probado")</f>
        <v>No probado</v>
      </c>
    </row>
    <row r="1067" spans="7:7" x14ac:dyDescent="0.35">
      <c r="G1067" s="2" t="str">
        <f>IFERROR((VLOOKUP(B1067,SOE!F:G,2,FALSE)),"No probado")</f>
        <v>No probado</v>
      </c>
    </row>
    <row r="1068" spans="7:7" x14ac:dyDescent="0.35">
      <c r="G1068" s="2" t="str">
        <f>IFERROR((VLOOKUP(B1068,SOE!F:G,2,FALSE)),"No probado")</f>
        <v>No probado</v>
      </c>
    </row>
    <row r="1069" spans="7:7" x14ac:dyDescent="0.35">
      <c r="G1069" s="2" t="str">
        <f>IFERROR((VLOOKUP(B1069,SOE!F:G,2,FALSE)),"No probado")</f>
        <v>No probado</v>
      </c>
    </row>
    <row r="1070" spans="7:7" x14ac:dyDescent="0.35">
      <c r="G1070" s="2" t="str">
        <f>IFERROR((VLOOKUP(B1070,SOE!F:G,2,FALSE)),"No probado")</f>
        <v>No probado</v>
      </c>
    </row>
    <row r="1071" spans="7:7" x14ac:dyDescent="0.35">
      <c r="G1071" s="2" t="str">
        <f>IFERROR((VLOOKUP(B1071,SOE!F:G,2,FALSE)),"No probado")</f>
        <v>No probado</v>
      </c>
    </row>
    <row r="1072" spans="7:7" x14ac:dyDescent="0.35">
      <c r="G1072" s="2" t="str">
        <f>IFERROR((VLOOKUP(B1072,SOE!F:G,2,FALSE)),"No probado")</f>
        <v>No probado</v>
      </c>
    </row>
    <row r="1073" spans="7:7" x14ac:dyDescent="0.35">
      <c r="G1073" s="2" t="str">
        <f>IFERROR((VLOOKUP(B1073,SOE!F:G,2,FALSE)),"No probado")</f>
        <v>No probado</v>
      </c>
    </row>
    <row r="1074" spans="7:7" x14ac:dyDescent="0.35">
      <c r="G1074" s="2" t="str">
        <f>IFERROR((VLOOKUP(B1074,SOE!F:G,2,FALSE)),"No probado")</f>
        <v>No probado</v>
      </c>
    </row>
    <row r="1075" spans="7:7" x14ac:dyDescent="0.35">
      <c r="G1075" s="2" t="str">
        <f>IFERROR((VLOOKUP(B1075,SOE!F:G,2,FALSE)),"No probado")</f>
        <v>No probado</v>
      </c>
    </row>
    <row r="1076" spans="7:7" x14ac:dyDescent="0.35">
      <c r="G1076" s="2" t="str">
        <f>IFERROR((VLOOKUP(B1076,SOE!F:G,2,FALSE)),"No probado")</f>
        <v>No probado</v>
      </c>
    </row>
    <row r="1077" spans="7:7" x14ac:dyDescent="0.35">
      <c r="G1077" s="2" t="str">
        <f>IFERROR((VLOOKUP(B1077,SOE!F:G,2,FALSE)),"No probado")</f>
        <v>No probado</v>
      </c>
    </row>
    <row r="1078" spans="7:7" x14ac:dyDescent="0.35">
      <c r="G1078" s="2" t="str">
        <f>IFERROR((VLOOKUP(B1078,SOE!F:G,2,FALSE)),"No probado")</f>
        <v>No probado</v>
      </c>
    </row>
    <row r="1079" spans="7:7" x14ac:dyDescent="0.35">
      <c r="G1079" s="2" t="str">
        <f>IFERROR((VLOOKUP(B1079,SOE!F:G,2,FALSE)),"No probado")</f>
        <v>No probado</v>
      </c>
    </row>
    <row r="1080" spans="7:7" x14ac:dyDescent="0.35">
      <c r="G1080" s="2" t="str">
        <f>IFERROR((VLOOKUP(B1080,SOE!F:G,2,FALSE)),"No probado")</f>
        <v>No probado</v>
      </c>
    </row>
    <row r="1081" spans="7:7" x14ac:dyDescent="0.35">
      <c r="G1081" s="2" t="str">
        <f>IFERROR((VLOOKUP(B1081,SOE!F:G,2,FALSE)),"No probado")</f>
        <v>No probado</v>
      </c>
    </row>
    <row r="1082" spans="7:7" x14ac:dyDescent="0.35">
      <c r="G1082" s="2" t="str">
        <f>IFERROR((VLOOKUP(B1082,SOE!F:G,2,FALSE)),"No probado")</f>
        <v>No probado</v>
      </c>
    </row>
    <row r="1083" spans="7:7" x14ac:dyDescent="0.35">
      <c r="G1083" s="2" t="str">
        <f>IFERROR((VLOOKUP(B1083,SOE!F:G,2,FALSE)),"No probado")</f>
        <v>No probado</v>
      </c>
    </row>
    <row r="1084" spans="7:7" x14ac:dyDescent="0.35">
      <c r="G1084" s="2" t="str">
        <f>IFERROR((VLOOKUP(B1084,SOE!F:G,2,FALSE)),"No probado")</f>
        <v>No probado</v>
      </c>
    </row>
    <row r="1085" spans="7:7" x14ac:dyDescent="0.35">
      <c r="G1085" s="2" t="str">
        <f>IFERROR((VLOOKUP(B1085,SOE!F:G,2,FALSE)),"No probado")</f>
        <v>No probado</v>
      </c>
    </row>
    <row r="1086" spans="7:7" x14ac:dyDescent="0.35">
      <c r="G1086" s="2" t="str">
        <f>IFERROR((VLOOKUP(B1086,SOE!F:G,2,FALSE)),"No probado")</f>
        <v>No probado</v>
      </c>
    </row>
    <row r="1087" spans="7:7" x14ac:dyDescent="0.35">
      <c r="G1087" s="2" t="str">
        <f>IFERROR((VLOOKUP(B1087,SOE!F:G,2,FALSE)),"No probado")</f>
        <v>No probado</v>
      </c>
    </row>
    <row r="1088" spans="7:7" x14ac:dyDescent="0.35">
      <c r="G1088" s="2" t="str">
        <f>IFERROR((VLOOKUP(B1088,SOE!F:G,2,FALSE)),"No probado")</f>
        <v>No probado</v>
      </c>
    </row>
    <row r="1089" spans="7:7" x14ac:dyDescent="0.35">
      <c r="G1089" s="2" t="str">
        <f>IFERROR((VLOOKUP(B1089,SOE!F:G,2,FALSE)),"No probado")</f>
        <v>No probado</v>
      </c>
    </row>
    <row r="1090" spans="7:7" x14ac:dyDescent="0.35">
      <c r="G1090" s="2" t="str">
        <f>IFERROR((VLOOKUP(B1090,SOE!F:G,2,FALSE)),"No probado")</f>
        <v>No probado</v>
      </c>
    </row>
    <row r="1091" spans="7:7" x14ac:dyDescent="0.35">
      <c r="G1091" s="2" t="str">
        <f>IFERROR((VLOOKUP(B1091,SOE!F:G,2,FALSE)),"No probado")</f>
        <v>No probado</v>
      </c>
    </row>
    <row r="1092" spans="7:7" x14ac:dyDescent="0.35">
      <c r="G1092" s="2" t="str">
        <f>IFERROR((VLOOKUP(B1092,SOE!F:G,2,FALSE)),"No probado")</f>
        <v>No probado</v>
      </c>
    </row>
    <row r="1093" spans="7:7" x14ac:dyDescent="0.35">
      <c r="G1093" s="2" t="str">
        <f>IFERROR((VLOOKUP(B1093,SOE!F:G,2,FALSE)),"No probado")</f>
        <v>No probado</v>
      </c>
    </row>
    <row r="1094" spans="7:7" x14ac:dyDescent="0.35">
      <c r="G1094" s="2" t="str">
        <f>IFERROR((VLOOKUP(B1094,SOE!F:G,2,FALSE)),"No probado")</f>
        <v>No probado</v>
      </c>
    </row>
    <row r="1095" spans="7:7" x14ac:dyDescent="0.35">
      <c r="G1095" s="2" t="str">
        <f>IFERROR((VLOOKUP(B1095,SOE!F:G,2,FALSE)),"No probado")</f>
        <v>No probado</v>
      </c>
    </row>
    <row r="1096" spans="7:7" x14ac:dyDescent="0.35">
      <c r="G1096" s="2" t="str">
        <f>IFERROR((VLOOKUP(B1096,SOE!F:G,2,FALSE)),"No probado")</f>
        <v>No probado</v>
      </c>
    </row>
    <row r="1097" spans="7:7" x14ac:dyDescent="0.35">
      <c r="G1097" s="2" t="str">
        <f>IFERROR((VLOOKUP(B1097,SOE!F:G,2,FALSE)),"No probado")</f>
        <v>No probado</v>
      </c>
    </row>
    <row r="1098" spans="7:7" x14ac:dyDescent="0.35">
      <c r="G1098" s="2" t="str">
        <f>IFERROR((VLOOKUP(B1098,SOE!F:G,2,FALSE)),"No probado")</f>
        <v>No probado</v>
      </c>
    </row>
    <row r="1099" spans="7:7" x14ac:dyDescent="0.35">
      <c r="G1099" s="2" t="str">
        <f>IFERROR((VLOOKUP(B1099,SOE!F:G,2,FALSE)),"No probado")</f>
        <v>No probado</v>
      </c>
    </row>
    <row r="1100" spans="7:7" x14ac:dyDescent="0.35">
      <c r="G1100" s="2" t="str">
        <f>IFERROR((VLOOKUP(B1100,SOE!F:G,2,FALSE)),"No probado")</f>
        <v>No probado</v>
      </c>
    </row>
    <row r="1101" spans="7:7" x14ac:dyDescent="0.35">
      <c r="G1101" s="2" t="str">
        <f>IFERROR((VLOOKUP(B1101,SOE!F:G,2,FALSE)),"No probado")</f>
        <v>No probado</v>
      </c>
    </row>
    <row r="1102" spans="7:7" x14ac:dyDescent="0.35">
      <c r="G1102" s="2" t="str">
        <f>IFERROR((VLOOKUP(B1102,SOE!F:G,2,FALSE)),"No probado")</f>
        <v>No probado</v>
      </c>
    </row>
    <row r="1103" spans="7:7" x14ac:dyDescent="0.35">
      <c r="G1103" s="2" t="str">
        <f>IFERROR((VLOOKUP(B1103,SOE!F:G,2,FALSE)),"No probado")</f>
        <v>No probado</v>
      </c>
    </row>
    <row r="1104" spans="7:7" x14ac:dyDescent="0.35">
      <c r="G1104" s="2" t="str">
        <f>IFERROR((VLOOKUP(B1104,SOE!F:G,2,FALSE)),"No probado")</f>
        <v>No probado</v>
      </c>
    </row>
    <row r="1105" spans="7:7" x14ac:dyDescent="0.35">
      <c r="G1105" s="2" t="str">
        <f>IFERROR((VLOOKUP(B1105,SOE!F:G,2,FALSE)),"No probado")</f>
        <v>No probado</v>
      </c>
    </row>
    <row r="1106" spans="7:7" x14ac:dyDescent="0.35">
      <c r="G1106" s="2" t="str">
        <f>IFERROR((VLOOKUP(B1106,SOE!F:G,2,FALSE)),"No probado")</f>
        <v>No probado</v>
      </c>
    </row>
    <row r="1107" spans="7:7" x14ac:dyDescent="0.35">
      <c r="G1107" s="2" t="str">
        <f>IFERROR((VLOOKUP(B1107,SOE!F:G,2,FALSE)),"No probado")</f>
        <v>No probado</v>
      </c>
    </row>
    <row r="1108" spans="7:7" x14ac:dyDescent="0.35">
      <c r="G1108" s="2" t="str">
        <f>IFERROR((VLOOKUP(B1108,SOE!F:G,2,FALSE)),"No probado")</f>
        <v>No probado</v>
      </c>
    </row>
    <row r="1109" spans="7:7" x14ac:dyDescent="0.35">
      <c r="G1109" s="2" t="str">
        <f>IFERROR((VLOOKUP(B1109,SOE!F:G,2,FALSE)),"No probado")</f>
        <v>No probado</v>
      </c>
    </row>
    <row r="1110" spans="7:7" x14ac:dyDescent="0.35">
      <c r="G1110" s="2" t="str">
        <f>IFERROR((VLOOKUP(B1110,SOE!F:G,2,FALSE)),"No probado")</f>
        <v>No probado</v>
      </c>
    </row>
    <row r="1111" spans="7:7" x14ac:dyDescent="0.35">
      <c r="G1111" s="2" t="str">
        <f>IFERROR((VLOOKUP(B1111,SOE!F:G,2,FALSE)),"No probado")</f>
        <v>No probado</v>
      </c>
    </row>
    <row r="1112" spans="7:7" x14ac:dyDescent="0.35">
      <c r="G1112" s="2" t="str">
        <f>IFERROR((VLOOKUP(B1112,SOE!F:G,2,FALSE)),"No probado")</f>
        <v>No probado</v>
      </c>
    </row>
    <row r="1113" spans="7:7" x14ac:dyDescent="0.35">
      <c r="G1113" s="2" t="str">
        <f>IFERROR((VLOOKUP(B1113,SOE!F:G,2,FALSE)),"No probado")</f>
        <v>No probado</v>
      </c>
    </row>
    <row r="1114" spans="7:7" x14ac:dyDescent="0.35">
      <c r="G1114" s="2" t="str">
        <f>IFERROR((VLOOKUP(B1114,SOE!F:G,2,FALSE)),"No probado")</f>
        <v>No probado</v>
      </c>
    </row>
    <row r="1115" spans="7:7" x14ac:dyDescent="0.35">
      <c r="G1115" s="2" t="str">
        <f>IFERROR((VLOOKUP(B1115,SOE!F:G,2,FALSE)),"No probado")</f>
        <v>No probado</v>
      </c>
    </row>
    <row r="1116" spans="7:7" x14ac:dyDescent="0.35">
      <c r="G1116" s="2" t="str">
        <f>IFERROR((VLOOKUP(B1116,SOE!F:G,2,FALSE)),"No probado")</f>
        <v>No probado</v>
      </c>
    </row>
    <row r="1117" spans="7:7" x14ac:dyDescent="0.35">
      <c r="G1117" s="2" t="str">
        <f>IFERROR((VLOOKUP(B1117,SOE!F:G,2,FALSE)),"No probado")</f>
        <v>No probado</v>
      </c>
    </row>
    <row r="1118" spans="7:7" x14ac:dyDescent="0.35">
      <c r="G1118" s="2" t="str">
        <f>IFERROR((VLOOKUP(B1118,SOE!F:G,2,FALSE)),"No probado")</f>
        <v>No probado</v>
      </c>
    </row>
    <row r="1119" spans="7:7" x14ac:dyDescent="0.35">
      <c r="G1119" s="2" t="str">
        <f>IFERROR((VLOOKUP(B1119,SOE!F:G,2,FALSE)),"No probado")</f>
        <v>No probado</v>
      </c>
    </row>
    <row r="1120" spans="7:7" x14ac:dyDescent="0.35">
      <c r="G1120" s="2" t="str">
        <f>IFERROR((VLOOKUP(B1120,SOE!F:G,2,FALSE)),"No probado")</f>
        <v>No probado</v>
      </c>
    </row>
    <row r="1121" spans="7:7" x14ac:dyDescent="0.35">
      <c r="G1121" s="2" t="str">
        <f>IFERROR((VLOOKUP(B1121,SOE!F:G,2,FALSE)),"No probado")</f>
        <v>No probado</v>
      </c>
    </row>
    <row r="1122" spans="7:7" x14ac:dyDescent="0.35">
      <c r="G1122" s="2" t="str">
        <f>IFERROR((VLOOKUP(B1122,SOE!F:G,2,FALSE)),"No probado")</f>
        <v>No probado</v>
      </c>
    </row>
    <row r="1123" spans="7:7" x14ac:dyDescent="0.35">
      <c r="G1123" s="2" t="str">
        <f>IFERROR((VLOOKUP(B1123,SOE!F:G,2,FALSE)),"No probado")</f>
        <v>No probado</v>
      </c>
    </row>
    <row r="1124" spans="7:7" x14ac:dyDescent="0.35">
      <c r="G1124" s="2" t="str">
        <f>IFERROR((VLOOKUP(B1124,SOE!F:G,2,FALSE)),"No probado")</f>
        <v>No probado</v>
      </c>
    </row>
    <row r="1125" spans="7:7" x14ac:dyDescent="0.35">
      <c r="G1125" s="2" t="str">
        <f>IFERROR((VLOOKUP(B1125,SOE!F:G,2,FALSE)),"No probado")</f>
        <v>No probado</v>
      </c>
    </row>
    <row r="1126" spans="7:7" x14ac:dyDescent="0.35">
      <c r="G1126" s="2" t="str">
        <f>IFERROR((VLOOKUP(B1126,SOE!F:G,2,FALSE)),"No probado")</f>
        <v>No probado</v>
      </c>
    </row>
    <row r="1127" spans="7:7" x14ac:dyDescent="0.35">
      <c r="G1127" s="2" t="str">
        <f>IFERROR((VLOOKUP(B1127,SOE!F:G,2,FALSE)),"No probado")</f>
        <v>No probado</v>
      </c>
    </row>
    <row r="1128" spans="7:7" x14ac:dyDescent="0.35">
      <c r="G1128" s="2" t="str">
        <f>IFERROR((VLOOKUP(B1128,SOE!F:G,2,FALSE)),"No probado")</f>
        <v>No probado</v>
      </c>
    </row>
    <row r="1129" spans="7:7" x14ac:dyDescent="0.35">
      <c r="G1129" s="2" t="str">
        <f>IFERROR((VLOOKUP(B1129,SOE!F:G,2,FALSE)),"No probado")</f>
        <v>No probado</v>
      </c>
    </row>
    <row r="1130" spans="7:7" x14ac:dyDescent="0.35">
      <c r="G1130" s="2" t="str">
        <f>IFERROR((VLOOKUP(B1130,SOE!F:G,2,FALSE)),"No probado")</f>
        <v>No probado</v>
      </c>
    </row>
    <row r="1131" spans="7:7" x14ac:dyDescent="0.35">
      <c r="G1131" s="2" t="str">
        <f>IFERROR((VLOOKUP(B1131,SOE!F:G,2,FALSE)),"No probado")</f>
        <v>No probado</v>
      </c>
    </row>
    <row r="1132" spans="7:7" x14ac:dyDescent="0.35">
      <c r="G1132" s="2" t="str">
        <f>IFERROR((VLOOKUP(B1132,SOE!F:G,2,FALSE)),"No probado")</f>
        <v>No probado</v>
      </c>
    </row>
    <row r="1133" spans="7:7" x14ac:dyDescent="0.35">
      <c r="G1133" s="2" t="str">
        <f>IFERROR((VLOOKUP(B1133,SOE!F:G,2,FALSE)),"No probado")</f>
        <v>No probado</v>
      </c>
    </row>
    <row r="1134" spans="7:7" x14ac:dyDescent="0.35">
      <c r="G1134" s="2" t="str">
        <f>IFERROR((VLOOKUP(B1134,SOE!F:G,2,FALSE)),"No probado")</f>
        <v>No probado</v>
      </c>
    </row>
    <row r="1135" spans="7:7" x14ac:dyDescent="0.35">
      <c r="G1135" s="2" t="str">
        <f>IFERROR((VLOOKUP(B1135,SOE!F:G,2,FALSE)),"No probado")</f>
        <v>No probado</v>
      </c>
    </row>
    <row r="1136" spans="7:7" x14ac:dyDescent="0.35">
      <c r="G1136" s="2" t="str">
        <f>IFERROR((VLOOKUP(B1136,SOE!F:G,2,FALSE)),"No probado")</f>
        <v>No probado</v>
      </c>
    </row>
    <row r="1137" spans="7:7" x14ac:dyDescent="0.35">
      <c r="G1137" s="2" t="str">
        <f>IFERROR((VLOOKUP(B1137,SOE!F:G,2,FALSE)),"No probado")</f>
        <v>No probado</v>
      </c>
    </row>
    <row r="1138" spans="7:7" x14ac:dyDescent="0.35">
      <c r="G1138" s="2" t="str">
        <f>IFERROR((VLOOKUP(B1138,SOE!F:G,2,FALSE)),"No probado")</f>
        <v>No probado</v>
      </c>
    </row>
    <row r="1139" spans="7:7" x14ac:dyDescent="0.35">
      <c r="G1139" s="2" t="str">
        <f>IFERROR((VLOOKUP(B1139,SOE!F:G,2,FALSE)),"No probado")</f>
        <v>No probado</v>
      </c>
    </row>
    <row r="1140" spans="7:7" x14ac:dyDescent="0.35">
      <c r="G1140" s="2" t="str">
        <f>IFERROR((VLOOKUP(B1140,SOE!F:G,2,FALSE)),"No probado")</f>
        <v>No probado</v>
      </c>
    </row>
    <row r="1141" spans="7:7" x14ac:dyDescent="0.35">
      <c r="G1141" s="2" t="str">
        <f>IFERROR((VLOOKUP(B1141,SOE!F:G,2,FALSE)),"No probado")</f>
        <v>No probado</v>
      </c>
    </row>
    <row r="1142" spans="7:7" x14ac:dyDescent="0.35">
      <c r="G1142" s="2" t="str">
        <f>IFERROR((VLOOKUP(B1142,SOE!F:G,2,FALSE)),"No probado")</f>
        <v>No probado</v>
      </c>
    </row>
    <row r="1143" spans="7:7" x14ac:dyDescent="0.35">
      <c r="G1143" s="2" t="str">
        <f>IFERROR((VLOOKUP(B1143,SOE!F:G,2,FALSE)),"No probado")</f>
        <v>No probado</v>
      </c>
    </row>
    <row r="1144" spans="7:7" x14ac:dyDescent="0.35">
      <c r="G1144" s="2" t="str">
        <f>IFERROR((VLOOKUP(B1144,SOE!F:G,2,FALSE)),"No probado")</f>
        <v>No probado</v>
      </c>
    </row>
    <row r="1145" spans="7:7" x14ac:dyDescent="0.35">
      <c r="G1145" s="2" t="str">
        <f>IFERROR((VLOOKUP(B1145,SOE!F:G,2,FALSE)),"No probado")</f>
        <v>No probado</v>
      </c>
    </row>
    <row r="1146" spans="7:7" x14ac:dyDescent="0.35">
      <c r="G1146" s="2" t="str">
        <f>IFERROR((VLOOKUP(B1146,SOE!F:G,2,FALSE)),"No probado")</f>
        <v>No probado</v>
      </c>
    </row>
    <row r="1147" spans="7:7" x14ac:dyDescent="0.35">
      <c r="G1147" s="2" t="str">
        <f>IFERROR((VLOOKUP(B1147,SOE!F:G,2,FALSE)),"No probado")</f>
        <v>No probado</v>
      </c>
    </row>
    <row r="1148" spans="7:7" x14ac:dyDescent="0.35">
      <c r="G1148" s="2" t="str">
        <f>IFERROR((VLOOKUP(B1148,SOE!F:G,2,FALSE)),"No probado")</f>
        <v>No probado</v>
      </c>
    </row>
    <row r="1149" spans="7:7" x14ac:dyDescent="0.35">
      <c r="G1149" s="2" t="str">
        <f>IFERROR((VLOOKUP(B1149,SOE!F:G,2,FALSE)),"No probado")</f>
        <v>No probado</v>
      </c>
    </row>
    <row r="1150" spans="7:7" x14ac:dyDescent="0.35">
      <c r="G1150" s="2" t="str">
        <f>IFERROR((VLOOKUP(B1150,SOE!F:G,2,FALSE)),"No probado")</f>
        <v>No probado</v>
      </c>
    </row>
    <row r="1151" spans="7:7" x14ac:dyDescent="0.35">
      <c r="G1151" s="2" t="str">
        <f>IFERROR((VLOOKUP(B1151,SOE!F:G,2,FALSE)),"No probado")</f>
        <v>No probado</v>
      </c>
    </row>
    <row r="1152" spans="7:7" x14ac:dyDescent="0.35">
      <c r="G1152" s="2" t="str">
        <f>IFERROR((VLOOKUP(B1152,SOE!F:G,2,FALSE)),"No probado")</f>
        <v>No probado</v>
      </c>
    </row>
    <row r="1153" spans="7:7" x14ac:dyDescent="0.35">
      <c r="G1153" s="2" t="str">
        <f>IFERROR((VLOOKUP(B1153,SOE!F:G,2,FALSE)),"No probado")</f>
        <v>No probado</v>
      </c>
    </row>
    <row r="1154" spans="7:7" x14ac:dyDescent="0.35">
      <c r="G1154" s="2" t="str">
        <f>IFERROR((VLOOKUP(B1154,SOE!F:G,2,FALSE)),"No probado")</f>
        <v>No probado</v>
      </c>
    </row>
    <row r="1155" spans="7:7" x14ac:dyDescent="0.35">
      <c r="G1155" s="2" t="str">
        <f>IFERROR((VLOOKUP(B1155,SOE!F:G,2,FALSE)),"No probado")</f>
        <v>No probado</v>
      </c>
    </row>
    <row r="1156" spans="7:7" x14ac:dyDescent="0.35">
      <c r="G1156" s="2" t="str">
        <f>IFERROR((VLOOKUP(B1156,SOE!F:G,2,FALSE)),"No probado")</f>
        <v>No probado</v>
      </c>
    </row>
    <row r="1157" spans="7:7" x14ac:dyDescent="0.35">
      <c r="G1157" s="2" t="str">
        <f>IFERROR((VLOOKUP(B1157,SOE!F:G,2,FALSE)),"No probado")</f>
        <v>No probado</v>
      </c>
    </row>
    <row r="1158" spans="7:7" x14ac:dyDescent="0.35">
      <c r="G1158" s="2" t="str">
        <f>IFERROR((VLOOKUP(B1158,SOE!F:G,2,FALSE)),"No probado")</f>
        <v>No probado</v>
      </c>
    </row>
    <row r="1159" spans="7:7" x14ac:dyDescent="0.35">
      <c r="G1159" s="2" t="str">
        <f>IFERROR((VLOOKUP(B1159,SOE!F:G,2,FALSE)),"No probado")</f>
        <v>No probado</v>
      </c>
    </row>
    <row r="1160" spans="7:7" x14ac:dyDescent="0.35">
      <c r="G1160" s="2" t="str">
        <f>IFERROR((VLOOKUP(B1160,SOE!F:G,2,FALSE)),"No probado")</f>
        <v>No probado</v>
      </c>
    </row>
    <row r="1161" spans="7:7" x14ac:dyDescent="0.35">
      <c r="G1161" s="2" t="str">
        <f>IFERROR((VLOOKUP(B1161,SOE!F:G,2,FALSE)),"No probado")</f>
        <v>No probado</v>
      </c>
    </row>
    <row r="1162" spans="7:7" x14ac:dyDescent="0.35">
      <c r="G1162" s="2" t="str">
        <f>IFERROR((VLOOKUP(B1162,SOE!F:G,2,FALSE)),"No probado")</f>
        <v>No probado</v>
      </c>
    </row>
    <row r="1163" spans="7:7" x14ac:dyDescent="0.35">
      <c r="G1163" s="2" t="str">
        <f>IFERROR((VLOOKUP(B1163,SOE!F:G,2,FALSE)),"No probado")</f>
        <v>No probado</v>
      </c>
    </row>
    <row r="1164" spans="7:7" x14ac:dyDescent="0.35">
      <c r="G1164" s="2" t="str">
        <f>IFERROR((VLOOKUP(B1164,SOE!F:G,2,FALSE)),"No probado")</f>
        <v>No probado</v>
      </c>
    </row>
    <row r="1165" spans="7:7" x14ac:dyDescent="0.35">
      <c r="G1165" s="2" t="str">
        <f>IFERROR((VLOOKUP(B1165,SOE!F:G,2,FALSE)),"No probado")</f>
        <v>No probado</v>
      </c>
    </row>
    <row r="1166" spans="7:7" x14ac:dyDescent="0.35">
      <c r="G1166" s="2" t="str">
        <f>IFERROR((VLOOKUP(B1166,SOE!F:G,2,FALSE)),"No probado")</f>
        <v>No probado</v>
      </c>
    </row>
    <row r="1167" spans="7:7" x14ac:dyDescent="0.35">
      <c r="G1167" s="2" t="str">
        <f>IFERROR((VLOOKUP(B1167,SOE!F:G,2,FALSE)),"No probado")</f>
        <v>No probado</v>
      </c>
    </row>
    <row r="1168" spans="7:7" x14ac:dyDescent="0.35">
      <c r="G1168" s="2" t="str">
        <f>IFERROR((VLOOKUP(B1168,SOE!F:G,2,FALSE)),"No probado")</f>
        <v>No probado</v>
      </c>
    </row>
    <row r="1169" spans="7:7" x14ac:dyDescent="0.35">
      <c r="G1169" s="2" t="str">
        <f>IFERROR((VLOOKUP(B1169,SOE!F:G,2,FALSE)),"No probado")</f>
        <v>No probado</v>
      </c>
    </row>
    <row r="1170" spans="7:7" x14ac:dyDescent="0.35">
      <c r="G1170" s="2" t="str">
        <f>IFERROR((VLOOKUP(B1170,SOE!F:G,2,FALSE)),"No probado")</f>
        <v>No probado</v>
      </c>
    </row>
    <row r="1171" spans="7:7" x14ac:dyDescent="0.35">
      <c r="G1171" s="2" t="str">
        <f>IFERROR((VLOOKUP(B1171,SOE!F:G,2,FALSE)),"No probado")</f>
        <v>No probado</v>
      </c>
    </row>
    <row r="1172" spans="7:7" x14ac:dyDescent="0.35">
      <c r="G1172" s="2" t="str">
        <f>IFERROR((VLOOKUP(B1172,SOE!F:G,2,FALSE)),"No probado")</f>
        <v>No probado</v>
      </c>
    </row>
    <row r="1173" spans="7:7" x14ac:dyDescent="0.35">
      <c r="G1173" s="2" t="str">
        <f>IFERROR((VLOOKUP(B1173,SOE!F:G,2,FALSE)),"No probado")</f>
        <v>No probado</v>
      </c>
    </row>
    <row r="1174" spans="7:7" x14ac:dyDescent="0.35">
      <c r="G1174" s="2" t="str">
        <f>IFERROR((VLOOKUP(B1174,SOE!F:G,2,FALSE)),"No probado")</f>
        <v>No probado</v>
      </c>
    </row>
    <row r="1175" spans="7:7" x14ac:dyDescent="0.35">
      <c r="G1175" s="2" t="str">
        <f>IFERROR((VLOOKUP(B1175,SOE!F:G,2,FALSE)),"No probado")</f>
        <v>No probado</v>
      </c>
    </row>
    <row r="1176" spans="7:7" x14ac:dyDescent="0.35">
      <c r="G1176" s="2" t="str">
        <f>IFERROR((VLOOKUP(B1176,SOE!F:G,2,FALSE)),"No probado")</f>
        <v>No probado</v>
      </c>
    </row>
    <row r="1177" spans="7:7" x14ac:dyDescent="0.35">
      <c r="G1177" s="2" t="str">
        <f>IFERROR((VLOOKUP(B1177,SOE!F:G,2,FALSE)),"No probado")</f>
        <v>No probado</v>
      </c>
    </row>
    <row r="1178" spans="7:7" x14ac:dyDescent="0.35">
      <c r="G1178" s="2" t="str">
        <f>IFERROR((VLOOKUP(B1178,SOE!F:G,2,FALSE)),"No probado")</f>
        <v>No probado</v>
      </c>
    </row>
    <row r="1179" spans="7:7" x14ac:dyDescent="0.35">
      <c r="G1179" s="2" t="str">
        <f>IFERROR((VLOOKUP(B1179,SOE!F:G,2,FALSE)),"No probado")</f>
        <v>No probado</v>
      </c>
    </row>
    <row r="1180" spans="7:7" x14ac:dyDescent="0.35">
      <c r="G1180" s="2" t="str">
        <f>IFERROR((VLOOKUP(B1180,SOE!F:G,2,FALSE)),"No probado")</f>
        <v>No probado</v>
      </c>
    </row>
    <row r="1181" spans="7:7" x14ac:dyDescent="0.35">
      <c r="G1181" s="2" t="str">
        <f>IFERROR((VLOOKUP(B1181,SOE!F:G,2,FALSE)),"No probado")</f>
        <v>No probado</v>
      </c>
    </row>
    <row r="1182" spans="7:7" x14ac:dyDescent="0.35">
      <c r="G1182" s="2" t="str">
        <f>IFERROR((VLOOKUP(B1182,SOE!F:G,2,FALSE)),"No probado")</f>
        <v>No probado</v>
      </c>
    </row>
    <row r="1183" spans="7:7" x14ac:dyDescent="0.35">
      <c r="G1183" s="2" t="str">
        <f>IFERROR((VLOOKUP(B1183,SOE!F:G,2,FALSE)),"No probado")</f>
        <v>No probado</v>
      </c>
    </row>
    <row r="1184" spans="7:7" x14ac:dyDescent="0.35">
      <c r="G1184" s="2" t="str">
        <f>IFERROR((VLOOKUP(B1184,SOE!F:G,2,FALSE)),"No probado")</f>
        <v>No probado</v>
      </c>
    </row>
    <row r="1185" spans="7:7" x14ac:dyDescent="0.35">
      <c r="G1185" s="2" t="str">
        <f>IFERROR((VLOOKUP(B1185,SOE!F:G,2,FALSE)),"No probado")</f>
        <v>No probado</v>
      </c>
    </row>
    <row r="1186" spans="7:7" x14ac:dyDescent="0.35">
      <c r="G1186" s="2" t="str">
        <f>IFERROR((VLOOKUP(B1186,SOE!F:G,2,FALSE)),"No probado")</f>
        <v>No probado</v>
      </c>
    </row>
    <row r="1187" spans="7:7" x14ac:dyDescent="0.35">
      <c r="G1187" s="2" t="str">
        <f>IFERROR((VLOOKUP(B1187,SOE!F:G,2,FALSE)),"No probado")</f>
        <v>No probado</v>
      </c>
    </row>
    <row r="1188" spans="7:7" x14ac:dyDescent="0.35">
      <c r="G1188" s="2" t="str">
        <f>IFERROR((VLOOKUP(B1188,SOE!F:G,2,FALSE)),"No probado")</f>
        <v>No probado</v>
      </c>
    </row>
    <row r="1189" spans="7:7" x14ac:dyDescent="0.35">
      <c r="G1189" s="2" t="str">
        <f>IFERROR((VLOOKUP(B1189,SOE!F:G,2,FALSE)),"No probado")</f>
        <v>No probado</v>
      </c>
    </row>
    <row r="1190" spans="7:7" x14ac:dyDescent="0.35">
      <c r="G1190" s="2" t="str">
        <f>IFERROR((VLOOKUP(B1190,SOE!F:G,2,FALSE)),"No probado")</f>
        <v>No probado</v>
      </c>
    </row>
    <row r="1191" spans="7:7" x14ac:dyDescent="0.35">
      <c r="G1191" s="2" t="str">
        <f>IFERROR((VLOOKUP(B1191,SOE!F:G,2,FALSE)),"No probado")</f>
        <v>No probado</v>
      </c>
    </row>
    <row r="1192" spans="7:7" x14ac:dyDescent="0.35">
      <c r="G1192" s="2" t="str">
        <f>IFERROR((VLOOKUP(B1192,SOE!F:G,2,FALSE)),"No probado")</f>
        <v>No probado</v>
      </c>
    </row>
    <row r="1193" spans="7:7" x14ac:dyDescent="0.35">
      <c r="G1193" s="2" t="str">
        <f>IFERROR((VLOOKUP(B1193,SOE!F:G,2,FALSE)),"No probado")</f>
        <v>No probado</v>
      </c>
    </row>
    <row r="1194" spans="7:7" x14ac:dyDescent="0.35">
      <c r="G1194" s="2" t="str">
        <f>IFERROR((VLOOKUP(B1194,SOE!F:G,2,FALSE)),"No probado")</f>
        <v>No probado</v>
      </c>
    </row>
    <row r="1195" spans="7:7" x14ac:dyDescent="0.35">
      <c r="G1195" s="2" t="str">
        <f>IFERROR((VLOOKUP(B1195,SOE!F:G,2,FALSE)),"No probado")</f>
        <v>No probado</v>
      </c>
    </row>
    <row r="1196" spans="7:7" x14ac:dyDescent="0.35">
      <c r="G1196" s="2" t="str">
        <f>IFERROR((VLOOKUP(B1196,SOE!F:G,2,FALSE)),"No probado")</f>
        <v>No probado</v>
      </c>
    </row>
    <row r="1197" spans="7:7" x14ac:dyDescent="0.35">
      <c r="G1197" s="2" t="str">
        <f>IFERROR((VLOOKUP(B1197,SOE!F:G,2,FALSE)),"No probado")</f>
        <v>No probado</v>
      </c>
    </row>
    <row r="1198" spans="7:7" x14ac:dyDescent="0.35">
      <c r="G1198" s="2" t="str">
        <f>IFERROR((VLOOKUP(B1198,SOE!F:G,2,FALSE)),"No probado")</f>
        <v>No probado</v>
      </c>
    </row>
    <row r="1199" spans="7:7" x14ac:dyDescent="0.35">
      <c r="G1199" s="2" t="str">
        <f>IFERROR((VLOOKUP(B1199,SOE!F:G,2,FALSE)),"No probado")</f>
        <v>No probado</v>
      </c>
    </row>
    <row r="1200" spans="7:7" x14ac:dyDescent="0.35">
      <c r="G1200" s="2" t="str">
        <f>IFERROR((VLOOKUP(B1200,SOE!F:G,2,FALSE)),"No probado")</f>
        <v>No probado</v>
      </c>
    </row>
    <row r="1201" spans="7:7" x14ac:dyDescent="0.35">
      <c r="G1201" s="2" t="str">
        <f>IFERROR((VLOOKUP(B1201,SOE!F:G,2,FALSE)),"No probado")</f>
        <v>No probado</v>
      </c>
    </row>
    <row r="1202" spans="7:7" x14ac:dyDescent="0.35">
      <c r="G1202" s="2" t="str">
        <f>IFERROR((VLOOKUP(B1202,SOE!F:G,2,FALSE)),"No probado")</f>
        <v>No probado</v>
      </c>
    </row>
    <row r="1203" spans="7:7" x14ac:dyDescent="0.35">
      <c r="G1203" s="2" t="str">
        <f>IFERROR((VLOOKUP(B1203,SOE!F:G,2,FALSE)),"No probado")</f>
        <v>No probado</v>
      </c>
    </row>
    <row r="1204" spans="7:7" x14ac:dyDescent="0.35">
      <c r="G1204" s="2" t="str">
        <f>IFERROR((VLOOKUP(B1204,SOE!F:G,2,FALSE)),"No probado")</f>
        <v>No probado</v>
      </c>
    </row>
    <row r="1205" spans="7:7" x14ac:dyDescent="0.35">
      <c r="G1205" s="2" t="str">
        <f>IFERROR((VLOOKUP(B1205,SOE!F:G,2,FALSE)),"No probado")</f>
        <v>No probado</v>
      </c>
    </row>
    <row r="1206" spans="7:7" x14ac:dyDescent="0.35">
      <c r="G1206" s="2" t="str">
        <f>IFERROR((VLOOKUP(B1206,SOE!F:G,2,FALSE)),"No probado")</f>
        <v>No probado</v>
      </c>
    </row>
    <row r="1207" spans="7:7" x14ac:dyDescent="0.35">
      <c r="G1207" s="2" t="str">
        <f>IFERROR((VLOOKUP(B1207,SOE!F:G,2,FALSE)),"No probado")</f>
        <v>No probado</v>
      </c>
    </row>
    <row r="1208" spans="7:7" x14ac:dyDescent="0.35">
      <c r="G1208" s="2" t="str">
        <f>IFERROR((VLOOKUP(B1208,SOE!F:G,2,FALSE)),"No probado")</f>
        <v>No probado</v>
      </c>
    </row>
    <row r="1209" spans="7:7" x14ac:dyDescent="0.35">
      <c r="G1209" s="2" t="str">
        <f>IFERROR((VLOOKUP(B1209,SOE!F:G,2,FALSE)),"No probado")</f>
        <v>No probado</v>
      </c>
    </row>
    <row r="1210" spans="7:7" x14ac:dyDescent="0.35">
      <c r="G1210" s="2" t="str">
        <f>IFERROR((VLOOKUP(B1210,SOE!F:G,2,FALSE)),"No probado")</f>
        <v>No probado</v>
      </c>
    </row>
    <row r="1211" spans="7:7" x14ac:dyDescent="0.35">
      <c r="G1211" s="2" t="str">
        <f>IFERROR((VLOOKUP(B1211,SOE!F:G,2,FALSE)),"No probado")</f>
        <v>No probado</v>
      </c>
    </row>
    <row r="1212" spans="7:7" x14ac:dyDescent="0.35">
      <c r="G1212" s="2" t="str">
        <f>IFERROR((VLOOKUP(B1212,SOE!F:G,2,FALSE)),"No probado")</f>
        <v>No probado</v>
      </c>
    </row>
    <row r="1213" spans="7:7" x14ac:dyDescent="0.35">
      <c r="G1213" s="2" t="str">
        <f>IFERROR((VLOOKUP(B1213,SOE!F:G,2,FALSE)),"No probado")</f>
        <v>No probado</v>
      </c>
    </row>
    <row r="1214" spans="7:7" x14ac:dyDescent="0.35">
      <c r="G1214" s="2" t="str">
        <f>IFERROR((VLOOKUP(B1214,SOE!F:G,2,FALSE)),"No probado")</f>
        <v>No probado</v>
      </c>
    </row>
    <row r="1215" spans="7:7" x14ac:dyDescent="0.35">
      <c r="G1215" s="2" t="str">
        <f>IFERROR((VLOOKUP(B1215,SOE!F:G,2,FALSE)),"No probado")</f>
        <v>No probado</v>
      </c>
    </row>
    <row r="1216" spans="7:7" x14ac:dyDescent="0.35">
      <c r="G1216" s="2" t="str">
        <f>IFERROR((VLOOKUP(B1216,SOE!F:G,2,FALSE)),"No probado")</f>
        <v>No probado</v>
      </c>
    </row>
    <row r="1217" spans="7:7" x14ac:dyDescent="0.35">
      <c r="G1217" s="2" t="str">
        <f>IFERROR((VLOOKUP(B1217,SOE!F:G,2,FALSE)),"No probado")</f>
        <v>No probado</v>
      </c>
    </row>
    <row r="1218" spans="7:7" x14ac:dyDescent="0.35">
      <c r="G1218" s="2" t="str">
        <f>IFERROR((VLOOKUP(B1218,SOE!F:G,2,FALSE)),"No probado")</f>
        <v>No probado</v>
      </c>
    </row>
    <row r="1219" spans="7:7" x14ac:dyDescent="0.35">
      <c r="G1219" s="2" t="str">
        <f>IFERROR((VLOOKUP(B1219,SOE!F:G,2,FALSE)),"No probado")</f>
        <v>No probado</v>
      </c>
    </row>
    <row r="1220" spans="7:7" x14ac:dyDescent="0.35">
      <c r="G1220" s="2" t="str">
        <f>IFERROR((VLOOKUP(B1220,SOE!F:G,2,FALSE)),"No probado")</f>
        <v>No probado</v>
      </c>
    </row>
    <row r="1221" spans="7:7" x14ac:dyDescent="0.35">
      <c r="G1221" s="2" t="str">
        <f>IFERROR((VLOOKUP(B1221,SOE!F:G,2,FALSE)),"No probado")</f>
        <v>No probado</v>
      </c>
    </row>
    <row r="1222" spans="7:7" x14ac:dyDescent="0.35">
      <c r="G1222" s="2" t="str">
        <f>IFERROR((VLOOKUP(B1222,SOE!F:G,2,FALSE)),"No probado")</f>
        <v>No probado</v>
      </c>
    </row>
    <row r="1223" spans="7:7" x14ac:dyDescent="0.35">
      <c r="G1223" s="2" t="str">
        <f>IFERROR((VLOOKUP(B1223,SOE!F:G,2,FALSE)),"No probado")</f>
        <v>No probado</v>
      </c>
    </row>
    <row r="1224" spans="7:7" x14ac:dyDescent="0.35">
      <c r="G1224" s="2" t="str">
        <f>IFERROR((VLOOKUP(B1224,SOE!F:G,2,FALSE)),"No probado")</f>
        <v>No probado</v>
      </c>
    </row>
    <row r="1225" spans="7:7" x14ac:dyDescent="0.35">
      <c r="G1225" s="2" t="str">
        <f>IFERROR((VLOOKUP(B1225,SOE!F:G,2,FALSE)),"No probado")</f>
        <v>No probado</v>
      </c>
    </row>
    <row r="1226" spans="7:7" x14ac:dyDescent="0.35">
      <c r="G1226" s="2" t="str">
        <f>IFERROR((VLOOKUP(B1226,SOE!F:G,2,FALSE)),"No probado")</f>
        <v>No probado</v>
      </c>
    </row>
    <row r="1227" spans="7:7" x14ac:dyDescent="0.35">
      <c r="G1227" s="2" t="str">
        <f>IFERROR((VLOOKUP(B1227,SOE!F:G,2,FALSE)),"No probado")</f>
        <v>No probado</v>
      </c>
    </row>
    <row r="1228" spans="7:7" x14ac:dyDescent="0.35">
      <c r="G1228" s="2" t="str">
        <f>IFERROR((VLOOKUP(B1228,SOE!F:G,2,FALSE)),"No probado")</f>
        <v>No probado</v>
      </c>
    </row>
    <row r="1229" spans="7:7" x14ac:dyDescent="0.35">
      <c r="G1229" s="2" t="str">
        <f>IFERROR((VLOOKUP(B1229,SOE!F:G,2,FALSE)),"No probado")</f>
        <v>No probado</v>
      </c>
    </row>
    <row r="1230" spans="7:7" x14ac:dyDescent="0.35">
      <c r="G1230" s="2" t="str">
        <f>IFERROR((VLOOKUP(B1230,SOE!F:G,2,FALSE)),"No probado")</f>
        <v>No probado</v>
      </c>
    </row>
    <row r="1231" spans="7:7" x14ac:dyDescent="0.35">
      <c r="G1231" s="2" t="str">
        <f>IFERROR((VLOOKUP(B1231,SOE!F:G,2,FALSE)),"No probado")</f>
        <v>No probado</v>
      </c>
    </row>
    <row r="1232" spans="7:7" x14ac:dyDescent="0.35">
      <c r="G1232" s="2" t="str">
        <f>IFERROR((VLOOKUP(B1232,SOE!F:G,2,FALSE)),"No probado")</f>
        <v>No probado</v>
      </c>
    </row>
    <row r="1233" spans="7:7" x14ac:dyDescent="0.35">
      <c r="G1233" s="2" t="str">
        <f>IFERROR((VLOOKUP(B1233,SOE!F:G,2,FALSE)),"No probado")</f>
        <v>No probado</v>
      </c>
    </row>
    <row r="1234" spans="7:7" x14ac:dyDescent="0.35">
      <c r="G1234" s="2" t="str">
        <f>IFERROR((VLOOKUP(B1234,SOE!F:G,2,FALSE)),"No probado")</f>
        <v>No probado</v>
      </c>
    </row>
    <row r="1235" spans="7:7" x14ac:dyDescent="0.35">
      <c r="G1235" s="2" t="str">
        <f>IFERROR((VLOOKUP(B1235,SOE!F:G,2,FALSE)),"No probado")</f>
        <v>No probado</v>
      </c>
    </row>
    <row r="1236" spans="7:7" x14ac:dyDescent="0.35">
      <c r="G1236" s="2" t="str">
        <f>IFERROR((VLOOKUP(B1236,SOE!F:G,2,FALSE)),"No probado")</f>
        <v>No probado</v>
      </c>
    </row>
    <row r="1237" spans="7:7" x14ac:dyDescent="0.35">
      <c r="G1237" s="2" t="str">
        <f>IFERROR((VLOOKUP(B1237,SOE!F:G,2,FALSE)),"No probado")</f>
        <v>No probado</v>
      </c>
    </row>
    <row r="1238" spans="7:7" x14ac:dyDescent="0.35">
      <c r="G1238" s="2" t="str">
        <f>IFERROR((VLOOKUP(B1238,SOE!F:G,2,FALSE)),"No probado")</f>
        <v>No probado</v>
      </c>
    </row>
    <row r="1239" spans="7:7" x14ac:dyDescent="0.35">
      <c r="G1239" s="2" t="str">
        <f>IFERROR((VLOOKUP(B1239,SOE!F:G,2,FALSE)),"No probado")</f>
        <v>No probado</v>
      </c>
    </row>
    <row r="1240" spans="7:7" x14ac:dyDescent="0.35">
      <c r="G1240" s="2" t="str">
        <f>IFERROR((VLOOKUP(B1240,SOE!F:G,2,FALSE)),"No probado")</f>
        <v>No probado</v>
      </c>
    </row>
    <row r="1241" spans="7:7" x14ac:dyDescent="0.35">
      <c r="G1241" s="2" t="str">
        <f>IFERROR((VLOOKUP(B1241,SOE!F:G,2,FALSE)),"No probado")</f>
        <v>No probado</v>
      </c>
    </row>
    <row r="1242" spans="7:7" x14ac:dyDescent="0.35">
      <c r="G1242" s="2" t="str">
        <f>IFERROR((VLOOKUP(B1242,SOE!F:G,2,FALSE)),"No probado")</f>
        <v>No probado</v>
      </c>
    </row>
    <row r="1243" spans="7:7" x14ac:dyDescent="0.35">
      <c r="G1243" s="2" t="str">
        <f>IFERROR((VLOOKUP(B1243,SOE!F:G,2,FALSE)),"No probado")</f>
        <v>No probado</v>
      </c>
    </row>
    <row r="1244" spans="7:7" x14ac:dyDescent="0.35">
      <c r="G1244" s="2" t="str">
        <f>IFERROR((VLOOKUP(B1244,SOE!F:G,2,FALSE)),"No probado")</f>
        <v>No probado</v>
      </c>
    </row>
    <row r="1245" spans="7:7" x14ac:dyDescent="0.35">
      <c r="G1245" s="2" t="str">
        <f>IFERROR((VLOOKUP(B1245,SOE!F:G,2,FALSE)),"No probado")</f>
        <v>No probado</v>
      </c>
    </row>
    <row r="1246" spans="7:7" x14ac:dyDescent="0.35">
      <c r="G1246" s="2" t="str">
        <f>IFERROR((VLOOKUP(B1246,SOE!F:G,2,FALSE)),"No probado")</f>
        <v>No probado</v>
      </c>
    </row>
    <row r="1247" spans="7:7" x14ac:dyDescent="0.35">
      <c r="G1247" s="2" t="str">
        <f>IFERROR((VLOOKUP(B1247,SOE!F:G,2,FALSE)),"No probado")</f>
        <v>No probado</v>
      </c>
    </row>
    <row r="1248" spans="7:7" x14ac:dyDescent="0.35">
      <c r="G1248" s="2" t="str">
        <f>IFERROR((VLOOKUP(B1248,SOE!F:G,2,FALSE)),"No probado")</f>
        <v>No probado</v>
      </c>
    </row>
    <row r="1249" spans="7:7" x14ac:dyDescent="0.35">
      <c r="G1249" s="2" t="str">
        <f>IFERROR((VLOOKUP(B1249,SOE!F:G,2,FALSE)),"No probado")</f>
        <v>No probado</v>
      </c>
    </row>
    <row r="1250" spans="7:7" x14ac:dyDescent="0.35">
      <c r="G1250" s="2" t="str">
        <f>IFERROR((VLOOKUP(B1250,SOE!F:G,2,FALSE)),"No probado")</f>
        <v>No probado</v>
      </c>
    </row>
    <row r="1251" spans="7:7" x14ac:dyDescent="0.35">
      <c r="G1251" s="2" t="str">
        <f>IFERROR((VLOOKUP(B1251,SOE!F:G,2,FALSE)),"No probado")</f>
        <v>No probado</v>
      </c>
    </row>
    <row r="1252" spans="7:7" x14ac:dyDescent="0.35">
      <c r="G1252" s="2" t="str">
        <f>IFERROR((VLOOKUP(B1252,SOE!F:G,2,FALSE)),"No probado")</f>
        <v>No probado</v>
      </c>
    </row>
    <row r="1253" spans="7:7" x14ac:dyDescent="0.35">
      <c r="G1253" s="2" t="str">
        <f>IFERROR((VLOOKUP(B1253,SOE!F:G,2,FALSE)),"No probado")</f>
        <v>No probado</v>
      </c>
    </row>
    <row r="1254" spans="7:7" x14ac:dyDescent="0.35">
      <c r="G1254" s="2" t="str">
        <f>IFERROR((VLOOKUP(B1254,SOE!F:G,2,FALSE)),"No probado")</f>
        <v>No probado</v>
      </c>
    </row>
    <row r="1255" spans="7:7" x14ac:dyDescent="0.35">
      <c r="G1255" s="2" t="str">
        <f>IFERROR((VLOOKUP(B1255,SOE!F:G,2,FALSE)),"No probado")</f>
        <v>No probado</v>
      </c>
    </row>
    <row r="1256" spans="7:7" x14ac:dyDescent="0.35">
      <c r="G1256" s="2" t="str">
        <f>IFERROR((VLOOKUP(B1256,SOE!F:G,2,FALSE)),"No probado")</f>
        <v>No probado</v>
      </c>
    </row>
    <row r="1257" spans="7:7" x14ac:dyDescent="0.35">
      <c r="G1257" s="2" t="str">
        <f>IFERROR((VLOOKUP(B1257,SOE!F:G,2,FALSE)),"No probado")</f>
        <v>No probado</v>
      </c>
    </row>
    <row r="1258" spans="7:7" x14ac:dyDescent="0.35">
      <c r="G1258" s="2" t="str">
        <f>IFERROR((VLOOKUP(B1258,SOE!F:G,2,FALSE)),"No probado")</f>
        <v>No probado</v>
      </c>
    </row>
    <row r="1259" spans="7:7" x14ac:dyDescent="0.35">
      <c r="G1259" s="2" t="str">
        <f>IFERROR((VLOOKUP(B1259,SOE!F:G,2,FALSE)),"No probado")</f>
        <v>No probado</v>
      </c>
    </row>
    <row r="1260" spans="7:7" x14ac:dyDescent="0.35">
      <c r="G1260" s="2" t="str">
        <f>IFERROR((VLOOKUP(B1260,SOE!F:G,2,FALSE)),"No probado")</f>
        <v>No probado</v>
      </c>
    </row>
    <row r="1261" spans="7:7" x14ac:dyDescent="0.35">
      <c r="G1261" s="2" t="str">
        <f>IFERROR((VLOOKUP(B1261,SOE!F:G,2,FALSE)),"No probado")</f>
        <v>No probado</v>
      </c>
    </row>
    <row r="1262" spans="7:7" x14ac:dyDescent="0.35">
      <c r="G1262" s="2" t="str">
        <f>IFERROR((VLOOKUP(B1262,SOE!F:G,2,FALSE)),"No probado")</f>
        <v>No probado</v>
      </c>
    </row>
    <row r="1263" spans="7:7" x14ac:dyDescent="0.35">
      <c r="G1263" s="2" t="str">
        <f>IFERROR((VLOOKUP(B1263,SOE!F:G,2,FALSE)),"No probado")</f>
        <v>No probado</v>
      </c>
    </row>
    <row r="1264" spans="7:7" x14ac:dyDescent="0.35">
      <c r="G1264" s="2" t="str">
        <f>IFERROR((VLOOKUP(B1264,SOE!F:G,2,FALSE)),"No probado")</f>
        <v>No probado</v>
      </c>
    </row>
    <row r="1265" spans="7:7" x14ac:dyDescent="0.35">
      <c r="G1265" s="2" t="str">
        <f>IFERROR((VLOOKUP(B1265,SOE!F:G,2,FALSE)),"No probado")</f>
        <v>No probado</v>
      </c>
    </row>
    <row r="1266" spans="7:7" x14ac:dyDescent="0.35">
      <c r="G1266" s="2" t="str">
        <f>IFERROR((VLOOKUP(B1266,SOE!F:G,2,FALSE)),"No probado")</f>
        <v>No probado</v>
      </c>
    </row>
    <row r="1267" spans="7:7" x14ac:dyDescent="0.35">
      <c r="G1267" s="2" t="str">
        <f>IFERROR((VLOOKUP(B1267,SOE!F:G,2,FALSE)),"No probado")</f>
        <v>No probado</v>
      </c>
    </row>
    <row r="1268" spans="7:7" x14ac:dyDescent="0.35">
      <c r="G1268" s="2" t="str">
        <f>IFERROR((VLOOKUP(B1268,SOE!F:G,2,FALSE)),"No probado")</f>
        <v>No probado</v>
      </c>
    </row>
    <row r="1269" spans="7:7" x14ac:dyDescent="0.35">
      <c r="G1269" s="2" t="str">
        <f>IFERROR((VLOOKUP(B1269,SOE!F:G,2,FALSE)),"No probado")</f>
        <v>No probado</v>
      </c>
    </row>
    <row r="1270" spans="7:7" x14ac:dyDescent="0.35">
      <c r="G1270" s="2" t="str">
        <f>IFERROR((VLOOKUP(B1270,SOE!F:G,2,FALSE)),"No probado")</f>
        <v>No probado</v>
      </c>
    </row>
    <row r="1271" spans="7:7" x14ac:dyDescent="0.35">
      <c r="G1271" s="2" t="str">
        <f>IFERROR((VLOOKUP(B1271,SOE!F:G,2,FALSE)),"No probado")</f>
        <v>No probado</v>
      </c>
    </row>
    <row r="1272" spans="7:7" x14ac:dyDescent="0.35">
      <c r="G1272" s="2" t="str">
        <f>IFERROR((VLOOKUP(B1272,SOE!F:G,2,FALSE)),"No probado")</f>
        <v>No probado</v>
      </c>
    </row>
    <row r="1273" spans="7:7" x14ac:dyDescent="0.35">
      <c r="G1273" s="2" t="str">
        <f>IFERROR((VLOOKUP(B1273,SOE!F:G,2,FALSE)),"No probado")</f>
        <v>No probado</v>
      </c>
    </row>
    <row r="1274" spans="7:7" x14ac:dyDescent="0.35">
      <c r="G1274" s="2" t="str">
        <f>IFERROR((VLOOKUP(B1274,SOE!F:G,2,FALSE)),"No probado")</f>
        <v>No probado</v>
      </c>
    </row>
    <row r="1275" spans="7:7" x14ac:dyDescent="0.35">
      <c r="G1275" s="2" t="str">
        <f>IFERROR((VLOOKUP(B1275,SOE!F:G,2,FALSE)),"No probado")</f>
        <v>No probado</v>
      </c>
    </row>
    <row r="1276" spans="7:7" x14ac:dyDescent="0.35">
      <c r="G1276" s="2" t="str">
        <f>IFERROR((VLOOKUP(B1276,SOE!F:G,2,FALSE)),"No probado")</f>
        <v>No probado</v>
      </c>
    </row>
    <row r="1277" spans="7:7" x14ac:dyDescent="0.35">
      <c r="G1277" s="2" t="str">
        <f>IFERROR((VLOOKUP(B1277,SOE!F:G,2,FALSE)),"No probado")</f>
        <v>No probado</v>
      </c>
    </row>
    <row r="1278" spans="7:7" x14ac:dyDescent="0.35">
      <c r="G1278" s="2" t="str">
        <f>IFERROR((VLOOKUP(B1278,SOE!F:G,2,FALSE)),"No probado")</f>
        <v>No probado</v>
      </c>
    </row>
    <row r="1279" spans="7:7" x14ac:dyDescent="0.35">
      <c r="G1279" s="2" t="str">
        <f>IFERROR((VLOOKUP(B1279,SOE!F:G,2,FALSE)),"No probado")</f>
        <v>No probado</v>
      </c>
    </row>
    <row r="1280" spans="7:7" x14ac:dyDescent="0.35">
      <c r="G1280" s="2" t="str">
        <f>IFERROR((VLOOKUP(B1280,SOE!F:G,2,FALSE)),"No probado")</f>
        <v>No probado</v>
      </c>
    </row>
    <row r="1281" spans="7:7" x14ac:dyDescent="0.35">
      <c r="G1281" s="2" t="str">
        <f>IFERROR((VLOOKUP(B1281,SOE!F:G,2,FALSE)),"No probado")</f>
        <v>No probado</v>
      </c>
    </row>
    <row r="1282" spans="7:7" x14ac:dyDescent="0.35">
      <c r="G1282" s="2" t="str">
        <f>IFERROR((VLOOKUP(B1282,SOE!F:G,2,FALSE)),"No probado")</f>
        <v>No probado</v>
      </c>
    </row>
    <row r="1283" spans="7:7" x14ac:dyDescent="0.35">
      <c r="G1283" s="2" t="str">
        <f>IFERROR((VLOOKUP(B1283,SOE!F:G,2,FALSE)),"No probado")</f>
        <v>No probado</v>
      </c>
    </row>
    <row r="1284" spans="7:7" x14ac:dyDescent="0.35">
      <c r="G1284" s="2" t="str">
        <f>IFERROR((VLOOKUP(B1284,SOE!F:G,2,FALSE)),"No probado")</f>
        <v>No probado</v>
      </c>
    </row>
    <row r="1285" spans="7:7" x14ac:dyDescent="0.35">
      <c r="G1285" s="2" t="str">
        <f>IFERROR((VLOOKUP(B1285,SOE!F:G,2,FALSE)),"No probado")</f>
        <v>No probado</v>
      </c>
    </row>
    <row r="1286" spans="7:7" x14ac:dyDescent="0.35">
      <c r="G1286" s="2" t="str">
        <f>IFERROR((VLOOKUP(B1286,SOE!F:G,2,FALSE)),"No probado")</f>
        <v>No probado</v>
      </c>
    </row>
    <row r="1287" spans="7:7" x14ac:dyDescent="0.35">
      <c r="G1287" s="2" t="str">
        <f>IFERROR((VLOOKUP(B1287,SOE!F:G,2,FALSE)),"No probado")</f>
        <v>No probado</v>
      </c>
    </row>
    <row r="1288" spans="7:7" x14ac:dyDescent="0.35">
      <c r="G1288" s="2" t="str">
        <f>IFERROR((VLOOKUP(B1288,SOE!F:G,2,FALSE)),"No probado")</f>
        <v>No probado</v>
      </c>
    </row>
    <row r="1289" spans="7:7" x14ac:dyDescent="0.35">
      <c r="G1289" s="2" t="str">
        <f>IFERROR((VLOOKUP(B1289,SOE!F:G,2,FALSE)),"No probado")</f>
        <v>No probado</v>
      </c>
    </row>
    <row r="1290" spans="7:7" x14ac:dyDescent="0.35">
      <c r="G1290" s="2" t="str">
        <f>IFERROR((VLOOKUP(B1290,SOE!F:G,2,FALSE)),"No probado")</f>
        <v>No probado</v>
      </c>
    </row>
    <row r="1291" spans="7:7" x14ac:dyDescent="0.35">
      <c r="G1291" s="2" t="str">
        <f>IFERROR((VLOOKUP(B1291,SOE!F:G,2,FALSE)),"No probado")</f>
        <v>No probado</v>
      </c>
    </row>
    <row r="1292" spans="7:7" x14ac:dyDescent="0.35">
      <c r="G1292" s="2" t="str">
        <f>IFERROR((VLOOKUP(B1292,SOE!F:G,2,FALSE)),"No probado")</f>
        <v>No probado</v>
      </c>
    </row>
    <row r="1293" spans="7:7" x14ac:dyDescent="0.35">
      <c r="G1293" s="2" t="str">
        <f>IFERROR((VLOOKUP(B1293,SOE!F:G,2,FALSE)),"No probado")</f>
        <v>No probado</v>
      </c>
    </row>
    <row r="1294" spans="7:7" x14ac:dyDescent="0.35">
      <c r="G1294" s="2" t="str">
        <f>IFERROR((VLOOKUP(B1294,SOE!F:G,2,FALSE)),"No probado")</f>
        <v>No probado</v>
      </c>
    </row>
    <row r="1295" spans="7:7" x14ac:dyDescent="0.35">
      <c r="G1295" s="2" t="str">
        <f>IFERROR((VLOOKUP(B1295,SOE!F:G,2,FALSE)),"No probado")</f>
        <v>No probado</v>
      </c>
    </row>
    <row r="1296" spans="7:7" x14ac:dyDescent="0.35">
      <c r="G1296" s="2" t="str">
        <f>IFERROR((VLOOKUP(B1296,SOE!F:G,2,FALSE)),"No probado")</f>
        <v>No probado</v>
      </c>
    </row>
    <row r="1297" spans="7:7" x14ac:dyDescent="0.35">
      <c r="G1297" s="2" t="str">
        <f>IFERROR((VLOOKUP(B1297,SOE!F:G,2,FALSE)),"No probado")</f>
        <v>No probado</v>
      </c>
    </row>
    <row r="1298" spans="7:7" x14ac:dyDescent="0.35">
      <c r="G1298" s="2" t="str">
        <f>IFERROR((VLOOKUP(B1298,SOE!F:G,2,FALSE)),"No probado")</f>
        <v>No probado</v>
      </c>
    </row>
    <row r="1299" spans="7:7" x14ac:dyDescent="0.35">
      <c r="G1299" s="2" t="str">
        <f>IFERROR((VLOOKUP(B1299,SOE!F:G,2,FALSE)),"No probado")</f>
        <v>No probado</v>
      </c>
    </row>
    <row r="1300" spans="7:7" x14ac:dyDescent="0.35">
      <c r="G1300" s="2" t="str">
        <f>IFERROR((VLOOKUP(B1300,SOE!F:G,2,FALSE)),"No probado")</f>
        <v>No probado</v>
      </c>
    </row>
    <row r="1301" spans="7:7" x14ac:dyDescent="0.35">
      <c r="G1301" s="2" t="str">
        <f>IFERROR((VLOOKUP(B1301,SOE!F:G,2,FALSE)),"No probado")</f>
        <v>No probado</v>
      </c>
    </row>
    <row r="1302" spans="7:7" x14ac:dyDescent="0.35">
      <c r="G1302" s="2" t="str">
        <f>IFERROR((VLOOKUP(B1302,SOE!F:G,2,FALSE)),"No probado")</f>
        <v>No probado</v>
      </c>
    </row>
    <row r="1303" spans="7:7" x14ac:dyDescent="0.35">
      <c r="G1303" s="2" t="str">
        <f>IFERROR((VLOOKUP(B1303,SOE!F:G,2,FALSE)),"No probado")</f>
        <v>No probado</v>
      </c>
    </row>
    <row r="1304" spans="7:7" x14ac:dyDescent="0.35">
      <c r="G1304" s="2" t="str">
        <f>IFERROR((VLOOKUP(B1304,SOE!F:G,2,FALSE)),"No probado")</f>
        <v>No probado</v>
      </c>
    </row>
    <row r="1305" spans="7:7" x14ac:dyDescent="0.35">
      <c r="G1305" s="2" t="str">
        <f>IFERROR((VLOOKUP(B1305,SOE!F:G,2,FALSE)),"No probado")</f>
        <v>No probado</v>
      </c>
    </row>
    <row r="1306" spans="7:7" x14ac:dyDescent="0.35">
      <c r="G1306" s="2" t="str">
        <f>IFERROR((VLOOKUP(B1306,SOE!F:G,2,FALSE)),"No probado")</f>
        <v>No probado</v>
      </c>
    </row>
    <row r="1307" spans="7:7" x14ac:dyDescent="0.35">
      <c r="G1307" s="2" t="str">
        <f>IFERROR((VLOOKUP(B1307,SOE!F:G,2,FALSE)),"No probado")</f>
        <v>No probado</v>
      </c>
    </row>
    <row r="1308" spans="7:7" x14ac:dyDescent="0.35">
      <c r="G1308" s="2" t="str">
        <f>IFERROR((VLOOKUP(B1308,SOE!F:G,2,FALSE)),"No probado")</f>
        <v>No probado</v>
      </c>
    </row>
    <row r="1309" spans="7:7" x14ac:dyDescent="0.35">
      <c r="G1309" s="2" t="str">
        <f>IFERROR((VLOOKUP(B1309,SOE!F:G,2,FALSE)),"No probado")</f>
        <v>No probado</v>
      </c>
    </row>
    <row r="1310" spans="7:7" x14ac:dyDescent="0.35">
      <c r="G1310" s="2" t="str">
        <f>IFERROR((VLOOKUP(B1310,SOE!F:G,2,FALSE)),"No probado")</f>
        <v>No probado</v>
      </c>
    </row>
    <row r="1311" spans="7:7" x14ac:dyDescent="0.35">
      <c r="G1311" s="2" t="str">
        <f>IFERROR((VLOOKUP(B1311,SOE!F:G,2,FALSE)),"No probado")</f>
        <v>No probado</v>
      </c>
    </row>
    <row r="1312" spans="7:7" x14ac:dyDescent="0.35">
      <c r="G1312" s="2" t="str">
        <f>IFERROR((VLOOKUP(B1312,SOE!F:G,2,FALSE)),"No probado")</f>
        <v>No probado</v>
      </c>
    </row>
    <row r="1313" spans="7:7" x14ac:dyDescent="0.35">
      <c r="G1313" s="2" t="str">
        <f>IFERROR((VLOOKUP(B1313,SOE!F:G,2,FALSE)),"No probado")</f>
        <v>No probado</v>
      </c>
    </row>
    <row r="1314" spans="7:7" x14ac:dyDescent="0.35">
      <c r="G1314" s="2" t="str">
        <f>IFERROR((VLOOKUP(B1314,SOE!F:G,2,FALSE)),"No probado")</f>
        <v>No probado</v>
      </c>
    </row>
    <row r="1315" spans="7:7" x14ac:dyDescent="0.35">
      <c r="G1315" s="2" t="str">
        <f>IFERROR((VLOOKUP(B1315,SOE!F:G,2,FALSE)),"No probado")</f>
        <v>No probado</v>
      </c>
    </row>
    <row r="1316" spans="7:7" x14ac:dyDescent="0.35">
      <c r="G1316" s="2" t="str">
        <f>IFERROR((VLOOKUP(B1316,SOE!F:G,2,FALSE)),"No probado")</f>
        <v>No probado</v>
      </c>
    </row>
    <row r="1317" spans="7:7" x14ac:dyDescent="0.35">
      <c r="G1317" s="2" t="str">
        <f>IFERROR((VLOOKUP(B1317,SOE!F:G,2,FALSE)),"No probado")</f>
        <v>No probado</v>
      </c>
    </row>
    <row r="1318" spans="7:7" x14ac:dyDescent="0.35">
      <c r="G1318" s="2" t="str">
        <f>IFERROR((VLOOKUP(B1318,SOE!F:G,2,FALSE)),"No probado")</f>
        <v>No probado</v>
      </c>
    </row>
    <row r="1319" spans="7:7" x14ac:dyDescent="0.35">
      <c r="G1319" s="2" t="str">
        <f>IFERROR((VLOOKUP(B1319,SOE!F:G,2,FALSE)),"No probado")</f>
        <v>No probado</v>
      </c>
    </row>
    <row r="1320" spans="7:7" x14ac:dyDescent="0.35">
      <c r="G1320" s="2" t="str">
        <f>IFERROR((VLOOKUP(B1320,SOE!F:G,2,FALSE)),"No probado")</f>
        <v>No probado</v>
      </c>
    </row>
    <row r="1321" spans="7:7" x14ac:dyDescent="0.35">
      <c r="G1321" s="2" t="str">
        <f>IFERROR((VLOOKUP(B1321,SOE!F:G,2,FALSE)),"No probado")</f>
        <v>No probado</v>
      </c>
    </row>
    <row r="1322" spans="7:7" x14ac:dyDescent="0.35">
      <c r="G1322" s="2" t="str">
        <f>IFERROR((VLOOKUP(B1322,SOE!F:G,2,FALSE)),"No probado")</f>
        <v>No probado</v>
      </c>
    </row>
    <row r="1323" spans="7:7" x14ac:dyDescent="0.35">
      <c r="G1323" s="2" t="str">
        <f>IFERROR((VLOOKUP(B1323,SOE!F:G,2,FALSE)),"No probado")</f>
        <v>No probado</v>
      </c>
    </row>
    <row r="1324" spans="7:7" x14ac:dyDescent="0.35">
      <c r="G1324" s="2" t="str">
        <f>IFERROR((VLOOKUP(B1324,SOE!F:G,2,FALSE)),"No probado")</f>
        <v>No probado</v>
      </c>
    </row>
    <row r="1325" spans="7:7" x14ac:dyDescent="0.35">
      <c r="G1325" s="2" t="str">
        <f>IFERROR((VLOOKUP(B1325,SOE!F:G,2,FALSE)),"No probado")</f>
        <v>No probado</v>
      </c>
    </row>
    <row r="1326" spans="7:7" x14ac:dyDescent="0.35">
      <c r="G1326" s="2" t="str">
        <f>IFERROR((VLOOKUP(B1326,SOE!F:G,2,FALSE)),"No probado")</f>
        <v>No probado</v>
      </c>
    </row>
    <row r="1327" spans="7:7" x14ac:dyDescent="0.35">
      <c r="G1327" s="2" t="str">
        <f>IFERROR((VLOOKUP(B1327,SOE!F:G,2,FALSE)),"No probado")</f>
        <v>No probado</v>
      </c>
    </row>
    <row r="1328" spans="7:7" x14ac:dyDescent="0.35">
      <c r="G1328" s="2" t="str">
        <f>IFERROR((VLOOKUP(B1328,SOE!F:G,2,FALSE)),"No probado")</f>
        <v>No probado</v>
      </c>
    </row>
    <row r="1329" spans="7:7" x14ac:dyDescent="0.35">
      <c r="G1329" s="2" t="str">
        <f>IFERROR((VLOOKUP(B1329,SOE!F:G,2,FALSE)),"No probado")</f>
        <v>No probado</v>
      </c>
    </row>
    <row r="1330" spans="7:7" x14ac:dyDescent="0.35">
      <c r="G1330" s="2" t="str">
        <f>IFERROR((VLOOKUP(B1330,SOE!F:G,2,FALSE)),"No probado")</f>
        <v>No probado</v>
      </c>
    </row>
    <row r="1331" spans="7:7" x14ac:dyDescent="0.35">
      <c r="G1331" s="2" t="str">
        <f>IFERROR((VLOOKUP(B1331,SOE!F:G,2,FALSE)),"No probado")</f>
        <v>No probado</v>
      </c>
    </row>
    <row r="1332" spans="7:7" x14ac:dyDescent="0.35">
      <c r="G1332" s="2" t="str">
        <f>IFERROR((VLOOKUP(B1332,SOE!F:G,2,FALSE)),"No probado")</f>
        <v>No probado</v>
      </c>
    </row>
    <row r="1333" spans="7:7" x14ac:dyDescent="0.35">
      <c r="G1333" s="2" t="str">
        <f>IFERROR((VLOOKUP(B1333,SOE!F:G,2,FALSE)),"No probado")</f>
        <v>No probado</v>
      </c>
    </row>
    <row r="1334" spans="7:7" x14ac:dyDescent="0.35">
      <c r="G1334" s="2" t="str">
        <f>IFERROR((VLOOKUP(B1334,SOE!F:G,2,FALSE)),"No probado")</f>
        <v>No probado</v>
      </c>
    </row>
    <row r="1335" spans="7:7" x14ac:dyDescent="0.35">
      <c r="G1335" s="2" t="str">
        <f>IFERROR((VLOOKUP(B1335,SOE!F:G,2,FALSE)),"No probado")</f>
        <v>No probado</v>
      </c>
    </row>
    <row r="1336" spans="7:7" x14ac:dyDescent="0.35">
      <c r="G1336" s="2" t="str">
        <f>IFERROR((VLOOKUP(B1336,SOE!F:G,2,FALSE)),"No probado")</f>
        <v>No probado</v>
      </c>
    </row>
    <row r="1337" spans="7:7" x14ac:dyDescent="0.35">
      <c r="G1337" s="2" t="str">
        <f>IFERROR((VLOOKUP(B1337,SOE!F:G,2,FALSE)),"No probado")</f>
        <v>No probado</v>
      </c>
    </row>
    <row r="1338" spans="7:7" x14ac:dyDescent="0.35">
      <c r="G1338" s="2" t="str">
        <f>IFERROR((VLOOKUP(B1338,SOE!F:G,2,FALSE)),"No probado")</f>
        <v>No probado</v>
      </c>
    </row>
    <row r="1339" spans="7:7" x14ac:dyDescent="0.35">
      <c r="G1339" s="2" t="str">
        <f>IFERROR((VLOOKUP(B1339,SOE!F:G,2,FALSE)),"No probado")</f>
        <v>No probado</v>
      </c>
    </row>
    <row r="1340" spans="7:7" x14ac:dyDescent="0.35">
      <c r="G1340" s="2" t="str">
        <f>IFERROR((VLOOKUP(B1340,SOE!F:G,2,FALSE)),"No probado")</f>
        <v>No probado</v>
      </c>
    </row>
    <row r="1341" spans="7:7" x14ac:dyDescent="0.35">
      <c r="G1341" s="2" t="str">
        <f>IFERROR((VLOOKUP(B1341,SOE!F:G,2,FALSE)),"No probado")</f>
        <v>No probado</v>
      </c>
    </row>
    <row r="1342" spans="7:7" x14ac:dyDescent="0.35">
      <c r="G1342" s="2" t="str">
        <f>IFERROR((VLOOKUP(B1342,SOE!F:G,2,FALSE)),"No probado")</f>
        <v>No probado</v>
      </c>
    </row>
    <row r="1343" spans="7:7" x14ac:dyDescent="0.35">
      <c r="G1343" s="2" t="str">
        <f>IFERROR((VLOOKUP(B1343,SOE!F:G,2,FALSE)),"No probado")</f>
        <v>No probado</v>
      </c>
    </row>
    <row r="1344" spans="7:7" x14ac:dyDescent="0.35">
      <c r="G1344" s="2" t="str">
        <f>IFERROR((VLOOKUP(B1344,SOE!F:G,2,FALSE)),"No probado")</f>
        <v>No probado</v>
      </c>
    </row>
    <row r="1345" spans="7:7" x14ac:dyDescent="0.35">
      <c r="G1345" s="2" t="str">
        <f>IFERROR((VLOOKUP(B1345,SOE!F:G,2,FALSE)),"No probado")</f>
        <v>No probado</v>
      </c>
    </row>
    <row r="1346" spans="7:7" x14ac:dyDescent="0.35">
      <c r="G1346" s="2" t="str">
        <f>IFERROR((VLOOKUP(B1346,SOE!F:G,2,FALSE)),"No probado")</f>
        <v>No probado</v>
      </c>
    </row>
    <row r="1347" spans="7:7" x14ac:dyDescent="0.35">
      <c r="G1347" s="2" t="str">
        <f>IFERROR((VLOOKUP(B1347,SOE!F:G,2,FALSE)),"No probado")</f>
        <v>No probado</v>
      </c>
    </row>
    <row r="1348" spans="7:7" x14ac:dyDescent="0.35">
      <c r="G1348" s="2" t="str">
        <f>IFERROR((VLOOKUP(B1348,SOE!F:G,2,FALSE)),"No probado")</f>
        <v>No probado</v>
      </c>
    </row>
    <row r="1349" spans="7:7" x14ac:dyDescent="0.35">
      <c r="G1349" s="2" t="str">
        <f>IFERROR((VLOOKUP(B1349,SOE!F:G,2,FALSE)),"No probado")</f>
        <v>No probado</v>
      </c>
    </row>
    <row r="1350" spans="7:7" x14ac:dyDescent="0.35">
      <c r="G1350" s="2" t="str">
        <f>IFERROR((VLOOKUP(B1350,SOE!F:G,2,FALSE)),"No probado")</f>
        <v>No probado</v>
      </c>
    </row>
    <row r="1351" spans="7:7" x14ac:dyDescent="0.35">
      <c r="G1351" s="2" t="str">
        <f>IFERROR((VLOOKUP(B1351,SOE!F:G,2,FALSE)),"No probado")</f>
        <v>No probado</v>
      </c>
    </row>
    <row r="1352" spans="7:7" x14ac:dyDescent="0.35">
      <c r="G1352" s="2" t="str">
        <f>IFERROR((VLOOKUP(B1352,SOE!F:G,2,FALSE)),"No probado")</f>
        <v>No probado</v>
      </c>
    </row>
    <row r="1353" spans="7:7" x14ac:dyDescent="0.35">
      <c r="G1353" s="2" t="str">
        <f>IFERROR((VLOOKUP(B1353,SOE!F:G,2,FALSE)),"No probado")</f>
        <v>No probado</v>
      </c>
    </row>
    <row r="1354" spans="7:7" x14ac:dyDescent="0.35">
      <c r="G1354" s="2" t="str">
        <f>IFERROR((VLOOKUP(B1354,SOE!F:G,2,FALSE)),"No probado")</f>
        <v>No probado</v>
      </c>
    </row>
    <row r="1355" spans="7:7" x14ac:dyDescent="0.35">
      <c r="G1355" s="2" t="str">
        <f>IFERROR((VLOOKUP(B1355,SOE!F:G,2,FALSE)),"No probado")</f>
        <v>No probado</v>
      </c>
    </row>
    <row r="1356" spans="7:7" x14ac:dyDescent="0.35">
      <c r="G1356" s="2" t="str">
        <f>IFERROR((VLOOKUP(B1356,SOE!F:G,2,FALSE)),"No probado")</f>
        <v>No probado</v>
      </c>
    </row>
    <row r="1357" spans="7:7" x14ac:dyDescent="0.35">
      <c r="G1357" s="2" t="str">
        <f>IFERROR((VLOOKUP(B1357,SOE!F:G,2,FALSE)),"No probado")</f>
        <v>No probado</v>
      </c>
    </row>
    <row r="1358" spans="7:7" x14ac:dyDescent="0.35">
      <c r="G1358" s="2" t="str">
        <f>IFERROR((VLOOKUP(B1358,SOE!F:G,2,FALSE)),"No probado")</f>
        <v>No probado</v>
      </c>
    </row>
    <row r="1359" spans="7:7" x14ac:dyDescent="0.35">
      <c r="G1359" s="2" t="str">
        <f>IFERROR((VLOOKUP(B1359,SOE!F:G,2,FALSE)),"No probado")</f>
        <v>No probado</v>
      </c>
    </row>
    <row r="1360" spans="7:7" x14ac:dyDescent="0.35">
      <c r="G1360" s="2" t="str">
        <f>IFERROR((VLOOKUP(B1360,SOE!F:G,2,FALSE)),"No probado")</f>
        <v>No probado</v>
      </c>
    </row>
    <row r="1361" spans="7:7" x14ac:dyDescent="0.35">
      <c r="G1361" s="2" t="str">
        <f>IFERROR((VLOOKUP(B1361,SOE!F:G,2,FALSE)),"No probado")</f>
        <v>No probado</v>
      </c>
    </row>
    <row r="1362" spans="7:7" x14ac:dyDescent="0.35">
      <c r="G1362" s="2" t="str">
        <f>IFERROR((VLOOKUP(B1362,SOE!F:G,2,FALSE)),"No probado")</f>
        <v>No probado</v>
      </c>
    </row>
    <row r="1363" spans="7:7" x14ac:dyDescent="0.35">
      <c r="G1363" s="2" t="str">
        <f>IFERROR((VLOOKUP(B1363,SOE!F:G,2,FALSE)),"No probado")</f>
        <v>No probado</v>
      </c>
    </row>
    <row r="1364" spans="7:7" x14ac:dyDescent="0.35">
      <c r="G1364" s="2" t="str">
        <f>IFERROR((VLOOKUP(B1364,SOE!F:G,2,FALSE)),"No probado")</f>
        <v>No probado</v>
      </c>
    </row>
    <row r="1365" spans="7:7" x14ac:dyDescent="0.35">
      <c r="G1365" s="2" t="str">
        <f>IFERROR((VLOOKUP(B1365,SOE!F:G,2,FALSE)),"No probado")</f>
        <v>No probado</v>
      </c>
    </row>
    <row r="1366" spans="7:7" x14ac:dyDescent="0.35">
      <c r="G1366" s="2" t="str">
        <f>IFERROR((VLOOKUP(B1366,SOE!F:G,2,FALSE)),"No probado")</f>
        <v>No probado</v>
      </c>
    </row>
    <row r="1367" spans="7:7" x14ac:dyDescent="0.35">
      <c r="G1367" s="2" t="str">
        <f>IFERROR((VLOOKUP(B1367,SOE!F:G,2,FALSE)),"No probado")</f>
        <v>No probado</v>
      </c>
    </row>
    <row r="1368" spans="7:7" x14ac:dyDescent="0.35">
      <c r="G1368" s="2" t="str">
        <f>IFERROR((VLOOKUP(B1368,SOE!F:G,2,FALSE)),"No probado")</f>
        <v>No probado</v>
      </c>
    </row>
    <row r="1369" spans="7:7" x14ac:dyDescent="0.35">
      <c r="G1369" s="2" t="str">
        <f>IFERROR((VLOOKUP(B1369,SOE!F:G,2,FALSE)),"No probado")</f>
        <v>No probado</v>
      </c>
    </row>
    <row r="1370" spans="7:7" x14ac:dyDescent="0.35">
      <c r="G1370" s="2" t="str">
        <f>IFERROR((VLOOKUP(B1370,SOE!F:G,2,FALSE)),"No probado")</f>
        <v>No probado</v>
      </c>
    </row>
    <row r="1371" spans="7:7" x14ac:dyDescent="0.35">
      <c r="G1371" s="2" t="str">
        <f>IFERROR((VLOOKUP(B1371,SOE!F:G,2,FALSE)),"No probado")</f>
        <v>No probado</v>
      </c>
    </row>
    <row r="1372" spans="7:7" x14ac:dyDescent="0.35">
      <c r="G1372" s="2" t="str">
        <f>IFERROR((VLOOKUP(B1372,SOE!F:G,2,FALSE)),"No probado")</f>
        <v>No probado</v>
      </c>
    </row>
    <row r="1373" spans="7:7" x14ac:dyDescent="0.35">
      <c r="G1373" s="2" t="str">
        <f>IFERROR((VLOOKUP(B1373,SOE!F:G,2,FALSE)),"No probado")</f>
        <v>No probado</v>
      </c>
    </row>
    <row r="1374" spans="7:7" x14ac:dyDescent="0.35">
      <c r="G1374" s="2" t="str">
        <f>IFERROR((VLOOKUP(B1374,SOE!F:G,2,FALSE)),"No probado")</f>
        <v>No probado</v>
      </c>
    </row>
    <row r="1375" spans="7:7" x14ac:dyDescent="0.35">
      <c r="G1375" s="2" t="str">
        <f>IFERROR((VLOOKUP(B1375,SOE!F:G,2,FALSE)),"No probado")</f>
        <v>No probado</v>
      </c>
    </row>
    <row r="1376" spans="7:7" x14ac:dyDescent="0.35">
      <c r="G1376" s="2" t="str">
        <f>IFERROR((VLOOKUP(B1376,SOE!F:G,2,FALSE)),"No probado")</f>
        <v>No probado</v>
      </c>
    </row>
    <row r="1377" spans="7:7" x14ac:dyDescent="0.35">
      <c r="G1377" s="2" t="str">
        <f>IFERROR((VLOOKUP(B1377,SOE!F:G,2,FALSE)),"No probado")</f>
        <v>No probado</v>
      </c>
    </row>
    <row r="1378" spans="7:7" x14ac:dyDescent="0.35">
      <c r="G1378" s="2" t="str">
        <f>IFERROR((VLOOKUP(B1378,SOE!F:G,2,FALSE)),"No probado")</f>
        <v>No probado</v>
      </c>
    </row>
    <row r="1379" spans="7:7" x14ac:dyDescent="0.35">
      <c r="G1379" s="2" t="str">
        <f>IFERROR((VLOOKUP(B1379,SOE!F:G,2,FALSE)),"No probado")</f>
        <v>No probado</v>
      </c>
    </row>
    <row r="1380" spans="7:7" x14ac:dyDescent="0.35">
      <c r="G1380" s="2" t="str">
        <f>IFERROR((VLOOKUP(B1380,SOE!F:G,2,FALSE)),"No probado")</f>
        <v>No probado</v>
      </c>
    </row>
    <row r="1381" spans="7:7" x14ac:dyDescent="0.35">
      <c r="G1381" s="2" t="str">
        <f>IFERROR((VLOOKUP(B1381,SOE!F:G,2,FALSE)),"No probado")</f>
        <v>No probado</v>
      </c>
    </row>
    <row r="1382" spans="7:7" x14ac:dyDescent="0.35">
      <c r="G1382" s="2" t="str">
        <f>IFERROR((VLOOKUP(B1382,SOE!F:G,2,FALSE)),"No probado")</f>
        <v>No probado</v>
      </c>
    </row>
    <row r="1383" spans="7:7" x14ac:dyDescent="0.35">
      <c r="G1383" s="2" t="str">
        <f>IFERROR((VLOOKUP(B1383,SOE!F:G,2,FALSE)),"No probado")</f>
        <v>No probado</v>
      </c>
    </row>
    <row r="1384" spans="7:7" x14ac:dyDescent="0.35">
      <c r="G1384" s="2" t="str">
        <f>IFERROR((VLOOKUP(B1384,SOE!F:G,2,FALSE)),"No probado")</f>
        <v>No probado</v>
      </c>
    </row>
    <row r="1385" spans="7:7" x14ac:dyDescent="0.35">
      <c r="G1385" s="2" t="str">
        <f>IFERROR((VLOOKUP(B1385,SOE!F:G,2,FALSE)),"No probado")</f>
        <v>No probado</v>
      </c>
    </row>
    <row r="1386" spans="7:7" x14ac:dyDescent="0.35">
      <c r="G1386" s="2" t="str">
        <f>IFERROR((VLOOKUP(B1386,SOE!F:G,2,FALSE)),"No probado")</f>
        <v>No probado</v>
      </c>
    </row>
    <row r="1387" spans="7:7" x14ac:dyDescent="0.35">
      <c r="G1387" s="2" t="str">
        <f>IFERROR((VLOOKUP(B1387,SOE!F:G,2,FALSE)),"No probado")</f>
        <v>No probado</v>
      </c>
    </row>
    <row r="1388" spans="7:7" x14ac:dyDescent="0.35">
      <c r="G1388" s="2" t="str">
        <f>IFERROR((VLOOKUP(B1388,SOE!F:G,2,FALSE)),"No probado")</f>
        <v>No probado</v>
      </c>
    </row>
    <row r="1389" spans="7:7" x14ac:dyDescent="0.35">
      <c r="G1389" s="2" t="str">
        <f>IFERROR((VLOOKUP(B1389,SOE!F:G,2,FALSE)),"No probado")</f>
        <v>No probado</v>
      </c>
    </row>
    <row r="1390" spans="7:7" x14ac:dyDescent="0.35">
      <c r="G1390" s="2" t="str">
        <f>IFERROR((VLOOKUP(B1390,SOE!F:G,2,FALSE)),"No probado")</f>
        <v>No probado</v>
      </c>
    </row>
    <row r="1391" spans="7:7" x14ac:dyDescent="0.35">
      <c r="G1391" s="2" t="str">
        <f>IFERROR((VLOOKUP(B1391,SOE!F:G,2,FALSE)),"No probado")</f>
        <v>No probado</v>
      </c>
    </row>
    <row r="1392" spans="7:7" x14ac:dyDescent="0.35">
      <c r="G1392" s="2" t="str">
        <f>IFERROR((VLOOKUP(B1392,SOE!F:G,2,FALSE)),"No probado")</f>
        <v>No probado</v>
      </c>
    </row>
    <row r="1393" spans="7:7" x14ac:dyDescent="0.35">
      <c r="G1393" s="2" t="str">
        <f>IFERROR((VLOOKUP(B1393,SOE!F:G,2,FALSE)),"No probado")</f>
        <v>No probado</v>
      </c>
    </row>
    <row r="1394" spans="7:7" x14ac:dyDescent="0.35">
      <c r="G1394" s="2" t="str">
        <f>IFERROR((VLOOKUP(B1394,SOE!F:G,2,FALSE)),"No probado")</f>
        <v>No probado</v>
      </c>
    </row>
    <row r="1395" spans="7:7" x14ac:dyDescent="0.35">
      <c r="G1395" s="2" t="str">
        <f>IFERROR((VLOOKUP(B1395,SOE!F:G,2,FALSE)),"No probado")</f>
        <v>No probado</v>
      </c>
    </row>
    <row r="1396" spans="7:7" x14ac:dyDescent="0.35">
      <c r="G1396" s="2" t="str">
        <f>IFERROR((VLOOKUP(B1396,SOE!F:G,2,FALSE)),"No probado")</f>
        <v>No probado</v>
      </c>
    </row>
    <row r="1397" spans="7:7" x14ac:dyDescent="0.35">
      <c r="G1397" s="2" t="str">
        <f>IFERROR((VLOOKUP(B1397,SOE!F:G,2,FALSE)),"No probado")</f>
        <v>No probado</v>
      </c>
    </row>
    <row r="1398" spans="7:7" x14ac:dyDescent="0.35">
      <c r="G1398" s="2" t="str">
        <f>IFERROR((VLOOKUP(B1398,SOE!F:G,2,FALSE)),"No probado")</f>
        <v>No probado</v>
      </c>
    </row>
    <row r="1399" spans="7:7" x14ac:dyDescent="0.35">
      <c r="G1399" s="2" t="str">
        <f>IFERROR((VLOOKUP(B1399,SOE!F:G,2,FALSE)),"No probado")</f>
        <v>No probado</v>
      </c>
    </row>
    <row r="1400" spans="7:7" x14ac:dyDescent="0.35">
      <c r="G1400" s="2" t="str">
        <f>IFERROR((VLOOKUP(B1400,SOE!F:G,2,FALSE)),"No probado")</f>
        <v>No probado</v>
      </c>
    </row>
    <row r="1401" spans="7:7" x14ac:dyDescent="0.35">
      <c r="G1401" s="2" t="str">
        <f>IFERROR((VLOOKUP(B1401,SOE!F:G,2,FALSE)),"No probado")</f>
        <v>No probado</v>
      </c>
    </row>
    <row r="1402" spans="7:7" x14ac:dyDescent="0.35">
      <c r="G1402" s="2" t="str">
        <f>IFERROR((VLOOKUP(B1402,SOE!F:G,2,FALSE)),"No probado")</f>
        <v>No probado</v>
      </c>
    </row>
    <row r="1403" spans="7:7" x14ac:dyDescent="0.35">
      <c r="G1403" s="2" t="str">
        <f>IFERROR((VLOOKUP(B1403,SOE!F:G,2,FALSE)),"No probado")</f>
        <v>No probado</v>
      </c>
    </row>
    <row r="1404" spans="7:7" x14ac:dyDescent="0.35">
      <c r="G1404" s="2" t="str">
        <f>IFERROR((VLOOKUP(B1404,SOE!F:G,2,FALSE)),"No probado")</f>
        <v>No probado</v>
      </c>
    </row>
    <row r="1405" spans="7:7" x14ac:dyDescent="0.35">
      <c r="G1405" s="2" t="str">
        <f>IFERROR((VLOOKUP(B1405,SOE!F:G,2,FALSE)),"No probado")</f>
        <v>No probado</v>
      </c>
    </row>
    <row r="1406" spans="7:7" x14ac:dyDescent="0.35">
      <c r="G1406" s="2" t="str">
        <f>IFERROR((VLOOKUP(B1406,SOE!F:G,2,FALSE)),"No probado")</f>
        <v>No probado</v>
      </c>
    </row>
    <row r="1407" spans="7:7" x14ac:dyDescent="0.35">
      <c r="G1407" s="2" t="str">
        <f>IFERROR((VLOOKUP(B1407,SOE!F:G,2,FALSE)),"No probado")</f>
        <v>No probado</v>
      </c>
    </row>
    <row r="1408" spans="7:7" x14ac:dyDescent="0.35">
      <c r="G1408" s="2" t="str">
        <f>IFERROR((VLOOKUP(B1408,SOE!F:G,2,FALSE)),"No probado")</f>
        <v>No probado</v>
      </c>
    </row>
    <row r="1409" spans="7:7" x14ac:dyDescent="0.35">
      <c r="G1409" s="2" t="str">
        <f>IFERROR((VLOOKUP(B1409,SOE!F:G,2,FALSE)),"No probado")</f>
        <v>No probado</v>
      </c>
    </row>
    <row r="1410" spans="7:7" x14ac:dyDescent="0.35">
      <c r="G1410" s="2" t="str">
        <f>IFERROR((VLOOKUP(B1410,SOE!F:G,2,FALSE)),"No probado")</f>
        <v>No probado</v>
      </c>
    </row>
    <row r="1411" spans="7:7" x14ac:dyDescent="0.35">
      <c r="G1411" s="2" t="str">
        <f>IFERROR((VLOOKUP(B1411,SOE!F:G,2,FALSE)),"No probado")</f>
        <v>No probado</v>
      </c>
    </row>
    <row r="1412" spans="7:7" x14ac:dyDescent="0.35">
      <c r="G1412" s="2" t="str">
        <f>IFERROR((VLOOKUP(B1412,SOE!F:G,2,FALSE)),"No probado")</f>
        <v>No probado</v>
      </c>
    </row>
    <row r="1413" spans="7:7" x14ac:dyDescent="0.35">
      <c r="G1413" s="2" t="str">
        <f>IFERROR((VLOOKUP(B1413,SOE!F:G,2,FALSE)),"No probado")</f>
        <v>No probado</v>
      </c>
    </row>
    <row r="1414" spans="7:7" x14ac:dyDescent="0.35">
      <c r="G1414" s="2" t="str">
        <f>IFERROR((VLOOKUP(B1414,SOE!F:G,2,FALSE)),"No probado")</f>
        <v>No probado</v>
      </c>
    </row>
    <row r="1415" spans="7:7" x14ac:dyDescent="0.35">
      <c r="G1415" s="2" t="str">
        <f>IFERROR((VLOOKUP(B1415,SOE!F:G,2,FALSE)),"No probado")</f>
        <v>No probado</v>
      </c>
    </row>
    <row r="1416" spans="7:7" x14ac:dyDescent="0.35">
      <c r="G1416" s="2" t="str">
        <f>IFERROR((VLOOKUP(B1416,SOE!F:G,2,FALSE)),"No probado")</f>
        <v>No probado</v>
      </c>
    </row>
    <row r="1417" spans="7:7" x14ac:dyDescent="0.35">
      <c r="G1417" s="2" t="str">
        <f>IFERROR((VLOOKUP(B1417,SOE!F:G,2,FALSE)),"No probado")</f>
        <v>No probado</v>
      </c>
    </row>
    <row r="1418" spans="7:7" x14ac:dyDescent="0.35">
      <c r="G1418" s="2" t="str">
        <f>IFERROR((VLOOKUP(B1418,SOE!F:G,2,FALSE)),"No probado")</f>
        <v>No probado</v>
      </c>
    </row>
    <row r="1419" spans="7:7" x14ac:dyDescent="0.35">
      <c r="G1419" s="2" t="str">
        <f>IFERROR((VLOOKUP(B1419,SOE!F:G,2,FALSE)),"No probado")</f>
        <v>No probado</v>
      </c>
    </row>
    <row r="1420" spans="7:7" x14ac:dyDescent="0.35">
      <c r="G1420" s="2" t="str">
        <f>IFERROR((VLOOKUP(B1420,SOE!F:G,2,FALSE)),"No probado")</f>
        <v>No probado</v>
      </c>
    </row>
    <row r="1421" spans="7:7" x14ac:dyDescent="0.35">
      <c r="G1421" s="2" t="str">
        <f>IFERROR((VLOOKUP(B1421,SOE!F:G,2,FALSE)),"No probado")</f>
        <v>No probado</v>
      </c>
    </row>
    <row r="1422" spans="7:7" x14ac:dyDescent="0.35">
      <c r="G1422" s="2" t="str">
        <f>IFERROR((VLOOKUP(B1422,SOE!F:G,2,FALSE)),"No probado")</f>
        <v>No probado</v>
      </c>
    </row>
    <row r="1423" spans="7:7" x14ac:dyDescent="0.35">
      <c r="G1423" s="2" t="str">
        <f>IFERROR((VLOOKUP(B1423,SOE!F:G,2,FALSE)),"No probado")</f>
        <v>No probado</v>
      </c>
    </row>
    <row r="1424" spans="7:7" x14ac:dyDescent="0.35">
      <c r="G1424" s="2" t="str">
        <f>IFERROR((VLOOKUP(B1424,SOE!F:G,2,FALSE)),"No probado")</f>
        <v>No probado</v>
      </c>
    </row>
    <row r="1425" spans="7:7" x14ac:dyDescent="0.35">
      <c r="G1425" s="2" t="str">
        <f>IFERROR((VLOOKUP(B1425,SOE!F:G,2,FALSE)),"No probado")</f>
        <v>No probado</v>
      </c>
    </row>
    <row r="1426" spans="7:7" x14ac:dyDescent="0.35">
      <c r="G1426" s="2" t="str">
        <f>IFERROR((VLOOKUP(B1426,SOE!F:G,2,FALSE)),"No probado")</f>
        <v>No probado</v>
      </c>
    </row>
    <row r="1427" spans="7:7" x14ac:dyDescent="0.35">
      <c r="G1427" s="2" t="str">
        <f>IFERROR((VLOOKUP(B1427,SOE!F:G,2,FALSE)),"No probado")</f>
        <v>No probado</v>
      </c>
    </row>
    <row r="1428" spans="7:7" x14ac:dyDescent="0.35">
      <c r="G1428" s="2" t="str">
        <f>IFERROR((VLOOKUP(B1428,SOE!F:G,2,FALSE)),"No probado")</f>
        <v>No probado</v>
      </c>
    </row>
    <row r="1429" spans="7:7" x14ac:dyDescent="0.35">
      <c r="G1429" s="2" t="str">
        <f>IFERROR((VLOOKUP(B1429,SOE!F:G,2,FALSE)),"No probado")</f>
        <v>No probado</v>
      </c>
    </row>
    <row r="1430" spans="7:7" x14ac:dyDescent="0.35">
      <c r="G1430" s="2" t="str">
        <f>IFERROR((VLOOKUP(B1430,SOE!F:G,2,FALSE)),"No probado")</f>
        <v>No probado</v>
      </c>
    </row>
    <row r="1431" spans="7:7" x14ac:dyDescent="0.35">
      <c r="G1431" s="2" t="str">
        <f>IFERROR((VLOOKUP(B1431,SOE!F:G,2,FALSE)),"No probado")</f>
        <v>No probado</v>
      </c>
    </row>
    <row r="1432" spans="7:7" x14ac:dyDescent="0.35">
      <c r="G1432" s="2" t="str">
        <f>IFERROR((VLOOKUP(B1432,SOE!F:G,2,FALSE)),"No probado")</f>
        <v>No probado</v>
      </c>
    </row>
    <row r="1433" spans="7:7" x14ac:dyDescent="0.35">
      <c r="G1433" s="2" t="str">
        <f>IFERROR((VLOOKUP(B1433,SOE!F:G,2,FALSE)),"No probado")</f>
        <v>No probado</v>
      </c>
    </row>
    <row r="1434" spans="7:7" x14ac:dyDescent="0.35">
      <c r="G1434" s="2" t="str">
        <f>IFERROR((VLOOKUP(B1434,SOE!F:G,2,FALSE)),"No probado")</f>
        <v>No probado</v>
      </c>
    </row>
    <row r="1435" spans="7:7" x14ac:dyDescent="0.35">
      <c r="G1435" s="2" t="str">
        <f>IFERROR((VLOOKUP(B1435,SOE!F:G,2,FALSE)),"No probado")</f>
        <v>No probado</v>
      </c>
    </row>
    <row r="1436" spans="7:7" x14ac:dyDescent="0.35">
      <c r="G1436" s="2" t="str">
        <f>IFERROR((VLOOKUP(B1436,SOE!F:G,2,FALSE)),"No probado")</f>
        <v>No probado</v>
      </c>
    </row>
    <row r="1437" spans="7:7" x14ac:dyDescent="0.35">
      <c r="G1437" s="2" t="str">
        <f>IFERROR((VLOOKUP(B1437,SOE!F:G,2,FALSE)),"No probado")</f>
        <v>No probado</v>
      </c>
    </row>
    <row r="1438" spans="7:7" x14ac:dyDescent="0.35">
      <c r="G1438" s="2" t="str">
        <f>IFERROR((VLOOKUP(B1438,SOE!F:G,2,FALSE)),"No probado")</f>
        <v>No probado</v>
      </c>
    </row>
    <row r="1439" spans="7:7" x14ac:dyDescent="0.35">
      <c r="G1439" s="2" t="str">
        <f>IFERROR((VLOOKUP(B1439,SOE!F:G,2,FALSE)),"No probado")</f>
        <v>No probado</v>
      </c>
    </row>
    <row r="1440" spans="7:7" x14ac:dyDescent="0.35">
      <c r="G1440" s="2" t="str">
        <f>IFERROR((VLOOKUP(B1440,SOE!F:G,2,FALSE)),"No probado")</f>
        <v>No probado</v>
      </c>
    </row>
    <row r="1441" spans="7:7" x14ac:dyDescent="0.35">
      <c r="G1441" s="2" t="str">
        <f>IFERROR((VLOOKUP(B1441,SOE!F:G,2,FALSE)),"No probado")</f>
        <v>No probado</v>
      </c>
    </row>
    <row r="1442" spans="7:7" x14ac:dyDescent="0.35">
      <c r="G1442" s="2" t="str">
        <f>IFERROR((VLOOKUP(B1442,SOE!F:G,2,FALSE)),"No probado")</f>
        <v>No probado</v>
      </c>
    </row>
    <row r="1443" spans="7:7" x14ac:dyDescent="0.35">
      <c r="G1443" s="2" t="str">
        <f>IFERROR((VLOOKUP(B1443,SOE!F:G,2,FALSE)),"No probado")</f>
        <v>No probado</v>
      </c>
    </row>
    <row r="1444" spans="7:7" x14ac:dyDescent="0.35">
      <c r="G1444" s="2" t="str">
        <f>IFERROR((VLOOKUP(B1444,SOE!F:G,2,FALSE)),"No probado")</f>
        <v>No probado</v>
      </c>
    </row>
    <row r="1445" spans="7:7" x14ac:dyDescent="0.35">
      <c r="G1445" s="2" t="str">
        <f>IFERROR((VLOOKUP(B1445,SOE!F:G,2,FALSE)),"No probado")</f>
        <v>No probado</v>
      </c>
    </row>
    <row r="1446" spans="7:7" x14ac:dyDescent="0.35">
      <c r="G1446" s="2" t="str">
        <f>IFERROR((VLOOKUP(B1446,SOE!F:G,2,FALSE)),"No probado")</f>
        <v>No probado</v>
      </c>
    </row>
    <row r="1447" spans="7:7" x14ac:dyDescent="0.35">
      <c r="G1447" s="2" t="str">
        <f>IFERROR((VLOOKUP(B1447,SOE!F:G,2,FALSE)),"No probado")</f>
        <v>No probado</v>
      </c>
    </row>
    <row r="1448" spans="7:7" x14ac:dyDescent="0.35">
      <c r="G1448" s="2" t="str">
        <f>IFERROR((VLOOKUP(B1448,SOE!F:G,2,FALSE)),"No probado")</f>
        <v>No probado</v>
      </c>
    </row>
    <row r="1449" spans="7:7" x14ac:dyDescent="0.35">
      <c r="G1449" s="2" t="str">
        <f>IFERROR((VLOOKUP(B1449,SOE!F:G,2,FALSE)),"No probado")</f>
        <v>No probado</v>
      </c>
    </row>
    <row r="1450" spans="7:7" x14ac:dyDescent="0.35">
      <c r="G1450" s="2" t="str">
        <f>IFERROR((VLOOKUP(B1450,SOE!F:G,2,FALSE)),"No probado")</f>
        <v>No probado</v>
      </c>
    </row>
    <row r="1451" spans="7:7" x14ac:dyDescent="0.35">
      <c r="G1451" s="2" t="str">
        <f>IFERROR((VLOOKUP(B1451,SOE!F:G,2,FALSE)),"No probado")</f>
        <v>No probado</v>
      </c>
    </row>
    <row r="1452" spans="7:7" x14ac:dyDescent="0.35">
      <c r="G1452" s="2" t="str">
        <f>IFERROR((VLOOKUP(B1452,SOE!F:G,2,FALSE)),"No probado")</f>
        <v>No probado</v>
      </c>
    </row>
    <row r="1453" spans="7:7" x14ac:dyDescent="0.35">
      <c r="G1453" s="2" t="str">
        <f>IFERROR((VLOOKUP(B1453,SOE!F:G,2,FALSE)),"No probado")</f>
        <v>No probado</v>
      </c>
    </row>
    <row r="1454" spans="7:7" x14ac:dyDescent="0.35">
      <c r="G1454" s="2" t="str">
        <f>IFERROR((VLOOKUP(B1454,SOE!F:G,2,FALSE)),"No probado")</f>
        <v>No probado</v>
      </c>
    </row>
    <row r="1455" spans="7:7" x14ac:dyDescent="0.35">
      <c r="G1455" s="2" t="str">
        <f>IFERROR((VLOOKUP(B1455,SOE!F:G,2,FALSE)),"No probado")</f>
        <v>No probado</v>
      </c>
    </row>
    <row r="1456" spans="7:7" x14ac:dyDescent="0.35">
      <c r="G1456" s="2" t="str">
        <f>IFERROR((VLOOKUP(B1456,SOE!F:G,2,FALSE)),"No probado")</f>
        <v>No probado</v>
      </c>
    </row>
    <row r="1457" spans="7:7" x14ac:dyDescent="0.35">
      <c r="G1457" s="2" t="str">
        <f>IFERROR((VLOOKUP(B1457,SOE!F:G,2,FALSE)),"No probado")</f>
        <v>No probado</v>
      </c>
    </row>
    <row r="1458" spans="7:7" x14ac:dyDescent="0.35">
      <c r="G1458" s="2" t="str">
        <f>IFERROR((VLOOKUP(B1458,SOE!F:G,2,FALSE)),"No probado")</f>
        <v>No probado</v>
      </c>
    </row>
    <row r="1459" spans="7:7" x14ac:dyDescent="0.35">
      <c r="G1459" s="2" t="str">
        <f>IFERROR((VLOOKUP(B1459,SOE!F:G,2,FALSE)),"No probado")</f>
        <v>No probado</v>
      </c>
    </row>
    <row r="1460" spans="7:7" x14ac:dyDescent="0.35">
      <c r="G1460" s="2" t="str">
        <f>IFERROR((VLOOKUP(B1460,SOE!F:G,2,FALSE)),"No probado")</f>
        <v>No probado</v>
      </c>
    </row>
    <row r="1461" spans="7:7" x14ac:dyDescent="0.35">
      <c r="G1461" s="2" t="str">
        <f>IFERROR((VLOOKUP(B1461,SOE!F:G,2,FALSE)),"No probado")</f>
        <v>No probado</v>
      </c>
    </row>
    <row r="1462" spans="7:7" x14ac:dyDescent="0.35">
      <c r="G1462" s="2" t="str">
        <f>IFERROR((VLOOKUP(B1462,SOE!F:G,2,FALSE)),"No probado")</f>
        <v>No probado</v>
      </c>
    </row>
    <row r="1463" spans="7:7" x14ac:dyDescent="0.35">
      <c r="G1463" s="2" t="str">
        <f>IFERROR((VLOOKUP(B1463,SOE!F:G,2,FALSE)),"No probado")</f>
        <v>No probado</v>
      </c>
    </row>
    <row r="1464" spans="7:7" x14ac:dyDescent="0.35">
      <c r="G1464" s="2" t="str">
        <f>IFERROR((VLOOKUP(B1464,SOE!F:G,2,FALSE)),"No probado")</f>
        <v>No probado</v>
      </c>
    </row>
    <row r="1465" spans="7:7" x14ac:dyDescent="0.35">
      <c r="G1465" s="2" t="str">
        <f>IFERROR((VLOOKUP(B1465,SOE!F:G,2,FALSE)),"No probado")</f>
        <v>No probado</v>
      </c>
    </row>
    <row r="1466" spans="7:7" x14ac:dyDescent="0.35">
      <c r="G1466" s="2" t="str">
        <f>IFERROR((VLOOKUP(B1466,SOE!F:G,2,FALSE)),"No probado")</f>
        <v>No probado</v>
      </c>
    </row>
    <row r="1467" spans="7:7" x14ac:dyDescent="0.35">
      <c r="G1467" s="2" t="str">
        <f>IFERROR((VLOOKUP(B1467,SOE!F:G,2,FALSE)),"No probado")</f>
        <v>No probado</v>
      </c>
    </row>
    <row r="1468" spans="7:7" x14ac:dyDescent="0.35">
      <c r="G1468" s="2" t="str">
        <f>IFERROR((VLOOKUP(B1468,SOE!F:G,2,FALSE)),"No probado")</f>
        <v>No probado</v>
      </c>
    </row>
    <row r="1469" spans="7:7" x14ac:dyDescent="0.35">
      <c r="G1469" s="2" t="str">
        <f>IFERROR((VLOOKUP(B1469,SOE!F:G,2,FALSE)),"No probado")</f>
        <v>No probado</v>
      </c>
    </row>
    <row r="1470" spans="7:7" x14ac:dyDescent="0.35">
      <c r="G1470" s="2" t="str">
        <f>IFERROR((VLOOKUP(B1470,SOE!F:G,2,FALSE)),"No probado")</f>
        <v>No probado</v>
      </c>
    </row>
    <row r="1471" spans="7:7" x14ac:dyDescent="0.35">
      <c r="G1471" s="2" t="str">
        <f>IFERROR((VLOOKUP(B1471,SOE!F:G,2,FALSE)),"No probado")</f>
        <v>No probado</v>
      </c>
    </row>
    <row r="1472" spans="7:7" x14ac:dyDescent="0.35">
      <c r="G1472" s="2" t="str">
        <f>IFERROR((VLOOKUP(B1472,SOE!F:G,2,FALSE)),"No probado")</f>
        <v>No probado</v>
      </c>
    </row>
    <row r="1473" spans="7:7" x14ac:dyDescent="0.35">
      <c r="G1473" s="2" t="str">
        <f>IFERROR((VLOOKUP(B1473,SOE!F:G,2,FALSE)),"No probado")</f>
        <v>No probado</v>
      </c>
    </row>
    <row r="1474" spans="7:7" x14ac:dyDescent="0.35">
      <c r="G1474" s="2" t="str">
        <f>IFERROR((VLOOKUP(B1474,SOE!F:G,2,FALSE)),"No probado")</f>
        <v>No probado</v>
      </c>
    </row>
    <row r="1475" spans="7:7" x14ac:dyDescent="0.35">
      <c r="G1475" s="2" t="str">
        <f>IFERROR((VLOOKUP(B1475,SOE!F:G,2,FALSE)),"No probado")</f>
        <v>No probado</v>
      </c>
    </row>
    <row r="1476" spans="7:7" x14ac:dyDescent="0.35">
      <c r="G1476" s="2" t="str">
        <f>IFERROR((VLOOKUP(B1476,SOE!F:G,2,FALSE)),"No probado")</f>
        <v>No probado</v>
      </c>
    </row>
    <row r="1477" spans="7:7" x14ac:dyDescent="0.35">
      <c r="G1477" s="2" t="str">
        <f>IFERROR((VLOOKUP(B1477,SOE!F:G,2,FALSE)),"No probado")</f>
        <v>No probado</v>
      </c>
    </row>
    <row r="1478" spans="7:7" x14ac:dyDescent="0.35">
      <c r="G1478" s="2" t="str">
        <f>IFERROR((VLOOKUP(B1478,SOE!F:G,2,FALSE)),"No probado")</f>
        <v>No probado</v>
      </c>
    </row>
    <row r="1479" spans="7:7" x14ac:dyDescent="0.35">
      <c r="G1479" s="2" t="str">
        <f>IFERROR((VLOOKUP(B1479,SOE!F:G,2,FALSE)),"No probado")</f>
        <v>No probado</v>
      </c>
    </row>
    <row r="1480" spans="7:7" x14ac:dyDescent="0.35">
      <c r="G1480" s="2" t="str">
        <f>IFERROR((VLOOKUP(B1480,SOE!F:G,2,FALSE)),"No probado")</f>
        <v>No probado</v>
      </c>
    </row>
    <row r="1481" spans="7:7" x14ac:dyDescent="0.35">
      <c r="G1481" s="2" t="str">
        <f>IFERROR((VLOOKUP(B1481,SOE!F:G,2,FALSE)),"No probado")</f>
        <v>No probado</v>
      </c>
    </row>
    <row r="1482" spans="7:7" x14ac:dyDescent="0.35">
      <c r="G1482" s="2" t="str">
        <f>IFERROR((VLOOKUP(B1482,SOE!F:G,2,FALSE)),"No probado")</f>
        <v>No probado</v>
      </c>
    </row>
    <row r="1483" spans="7:7" x14ac:dyDescent="0.35">
      <c r="G1483" s="2" t="str">
        <f>IFERROR((VLOOKUP(B1483,SOE!F:G,2,FALSE)),"No probado")</f>
        <v>No probado</v>
      </c>
    </row>
    <row r="1484" spans="7:7" x14ac:dyDescent="0.35">
      <c r="G1484" s="2" t="str">
        <f>IFERROR((VLOOKUP(B1484,SOE!F:G,2,FALSE)),"No probado")</f>
        <v>No probado</v>
      </c>
    </row>
    <row r="1485" spans="7:7" x14ac:dyDescent="0.35">
      <c r="G1485" s="2" t="str">
        <f>IFERROR((VLOOKUP(B1485,SOE!F:G,2,FALSE)),"No probado")</f>
        <v>No probado</v>
      </c>
    </row>
    <row r="1486" spans="7:7" x14ac:dyDescent="0.35">
      <c r="G1486" s="2" t="str">
        <f>IFERROR((VLOOKUP(B1486,SOE!F:G,2,FALSE)),"No probado")</f>
        <v>No probado</v>
      </c>
    </row>
    <row r="1487" spans="7:7" x14ac:dyDescent="0.35">
      <c r="G1487" s="2" t="str">
        <f>IFERROR((VLOOKUP(B1487,SOE!F:G,2,FALSE)),"No probado")</f>
        <v>No probado</v>
      </c>
    </row>
    <row r="1488" spans="7:7" x14ac:dyDescent="0.35">
      <c r="G1488" s="2" t="str">
        <f>IFERROR((VLOOKUP(B1488,SOE!F:G,2,FALSE)),"No probado")</f>
        <v>No probado</v>
      </c>
    </row>
    <row r="1489" spans="7:7" x14ac:dyDescent="0.35">
      <c r="G1489" s="2" t="str">
        <f>IFERROR((VLOOKUP(B1489,SOE!F:G,2,FALSE)),"No probado")</f>
        <v>No probado</v>
      </c>
    </row>
    <row r="1490" spans="7:7" x14ac:dyDescent="0.35">
      <c r="G1490" s="2" t="str">
        <f>IFERROR((VLOOKUP(B1490,SOE!F:G,2,FALSE)),"No probado")</f>
        <v>No probado</v>
      </c>
    </row>
    <row r="1491" spans="7:7" x14ac:dyDescent="0.35">
      <c r="G1491" s="2" t="str">
        <f>IFERROR((VLOOKUP(B1491,SOE!F:G,2,FALSE)),"No probado")</f>
        <v>No probado</v>
      </c>
    </row>
    <row r="1492" spans="7:7" x14ac:dyDescent="0.35">
      <c r="G1492" s="2" t="str">
        <f>IFERROR((VLOOKUP(B1492,SOE!F:G,2,FALSE)),"No probado")</f>
        <v>No probado</v>
      </c>
    </row>
    <row r="1493" spans="7:7" x14ac:dyDescent="0.35">
      <c r="G1493" s="2" t="str">
        <f>IFERROR((VLOOKUP(B1493,SOE!F:G,2,FALSE)),"No probado")</f>
        <v>No probado</v>
      </c>
    </row>
    <row r="1494" spans="7:7" x14ac:dyDescent="0.35">
      <c r="G1494" s="2" t="str">
        <f>IFERROR((VLOOKUP(B1494,SOE!F:G,2,FALSE)),"No probado")</f>
        <v>No probado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2C33-834C-49F9-B4A6-66E005D8910E}">
  <sheetPr codeName="Hoja5"/>
  <dimension ref="A1:E2"/>
  <sheetViews>
    <sheetView workbookViewId="0">
      <selection activeCell="D8" sqref="D8"/>
    </sheetView>
  </sheetViews>
  <sheetFormatPr baseColWidth="10" defaultColWidth="11.453125" defaultRowHeight="14.5" x14ac:dyDescent="0.35"/>
  <cols>
    <col min="1" max="1" width="11.453125" style="3"/>
    <col min="2" max="2" width="9.26953125" style="6" customWidth="1"/>
    <col min="3" max="3" width="12" style="3" customWidth="1"/>
    <col min="4" max="4" width="31.54296875" style="6" bestFit="1" customWidth="1"/>
    <col min="5" max="5" width="11.453125" style="14"/>
  </cols>
  <sheetData>
    <row r="1" spans="1:5" x14ac:dyDescent="0.35">
      <c r="A1" s="11" t="s">
        <v>16</v>
      </c>
      <c r="B1" s="16" t="s">
        <v>18</v>
      </c>
      <c r="C1" s="17" t="s">
        <v>17</v>
      </c>
      <c r="D1" s="16" t="s">
        <v>11</v>
      </c>
      <c r="E1" s="15" t="s">
        <v>10</v>
      </c>
    </row>
    <row r="2" spans="1:5" x14ac:dyDescent="0.35">
      <c r="A2" s="3" t="s">
        <v>30</v>
      </c>
      <c r="B2" s="32" t="s">
        <v>30</v>
      </c>
      <c r="C2" s="3" t="s">
        <v>30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FED9-AEC5-4930-B341-AEF879DCAADF}">
  <sheetPr codeName="Hoja6"/>
  <dimension ref="A1:I186"/>
  <sheetViews>
    <sheetView topLeftCell="C1" workbookViewId="0">
      <selection activeCell="L7" sqref="L7"/>
    </sheetView>
  </sheetViews>
  <sheetFormatPr baseColWidth="10" defaultColWidth="11.453125" defaultRowHeight="14.5" x14ac:dyDescent="0.35"/>
  <cols>
    <col min="1" max="2" width="19.81640625" style="20" customWidth="1"/>
    <col min="3" max="3" width="13.1796875" style="18" customWidth="1"/>
    <col min="4" max="4" width="26.453125" style="18" customWidth="1"/>
    <col min="5" max="5" width="8" style="18" customWidth="1"/>
    <col min="6" max="6" width="10.7265625" style="19" customWidth="1"/>
    <col min="7" max="7" width="12.26953125" style="14" customWidth="1"/>
    <col min="8" max="8" width="11.81640625" style="18" customWidth="1"/>
    <col min="9" max="9" width="49" customWidth="1"/>
  </cols>
  <sheetData>
    <row r="1" spans="1:9" x14ac:dyDescent="0.35">
      <c r="A1" s="25" t="s">
        <v>26</v>
      </c>
      <c r="B1" s="25" t="s">
        <v>25</v>
      </c>
      <c r="C1" s="23" t="s">
        <v>24</v>
      </c>
      <c r="D1" s="23" t="s">
        <v>23</v>
      </c>
      <c r="E1" s="23" t="s">
        <v>22</v>
      </c>
      <c r="F1" s="24" t="s">
        <v>21</v>
      </c>
      <c r="G1" s="15" t="s">
        <v>20</v>
      </c>
      <c r="H1" s="23" t="s">
        <v>19</v>
      </c>
      <c r="I1" s="22" t="s">
        <v>9</v>
      </c>
    </row>
    <row r="172" spans="1:2" x14ac:dyDescent="0.35">
      <c r="A172" s="21"/>
      <c r="B172" s="21"/>
    </row>
    <row r="186" spans="1:2" x14ac:dyDescent="0.35">
      <c r="A186" s="21"/>
      <c r="B186" s="2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0e410-0b5c-48bc-bd1a-8b91cabc84bc}" enabled="0" method="" siteId="{c980e410-0b5c-48bc-bd1a-8b91cabc84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STATUS</vt:lpstr>
      <vt:lpstr>ANALOG</vt:lpstr>
      <vt:lpstr>CMD</vt:lpstr>
      <vt:lpstr>SOE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ITCO_E SEBASTIAN RUIZ RUIZ</dc:creator>
  <cp:lastModifiedBy>ITCO_E SEBASTIAN RUIZ RUIZ</cp:lastModifiedBy>
  <dcterms:created xsi:type="dcterms:W3CDTF">2025-09-17T21:15:45Z</dcterms:created>
  <dcterms:modified xsi:type="dcterms:W3CDTF">2025-09-24T17:52:25Z</dcterms:modified>
</cp:coreProperties>
</file>